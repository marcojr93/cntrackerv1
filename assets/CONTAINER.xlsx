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bih14\OneDrive\Marco's PC\Estudos\cntrackerv1\assets\"/>
    </mc:Choice>
  </mc:AlternateContent>
  <xr:revisionPtr revIDLastSave="0" documentId="13_ncr:1_{D3EFC909-0B5B-46DA-8E63-2D58F2D66E5E}" xr6:coauthVersionLast="47" xr6:coauthVersionMax="47" xr10:uidLastSave="{00000000-0000-0000-0000-000000000000}"/>
  <bookViews>
    <workbookView xWindow="-120" yWindow="-120" windowWidth="20730" windowHeight="11040" xr2:uid="{00000000-000D-0000-FFFF-FFFF00000000}"/>
  </bookViews>
  <sheets>
    <sheet name="SOON" sheetId="14" r:id="rId1"/>
    <sheet name="LATER" sheetId="10" r:id="rId2"/>
    <sheet name="SHIPMENT RECEIVED 2024-2025" sheetId="13" r:id="rId3"/>
    <sheet name="Contract Overview" sheetId="17" state="hidden" r:id="rId4"/>
  </sheets>
  <definedNames>
    <definedName name="_xlnm._FilterDatabase" localSheetId="1" hidden="1">LATER!$A$1:$AD$28</definedName>
    <definedName name="_xlnm._FilterDatabase" localSheetId="2" hidden="1">'SHIPMENT RECEIVED 2024-2025'!$A$1:$AE$709</definedName>
    <definedName name="_xlnm._FilterDatabase" localSheetId="0" hidden="1">SOON!$A$2:$AY$40</definedName>
    <definedName name="_xlnm.Print_Area" localSheetId="3">'Contract Overview'!$A$1:$I$27</definedName>
    <definedName name="_xlnm.Print_Area" localSheetId="1">LATER!$A$1:$AD$69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4" i="14" l="1"/>
  <c r="C14" i="14"/>
  <c r="Q14" i="14"/>
  <c r="Q706" i="13"/>
  <c r="T10" i="14"/>
  <c r="O709" i="13"/>
  <c r="Q709" i="13" s="1"/>
  <c r="O707" i="13"/>
  <c r="P707" i="13" s="1"/>
  <c r="O708" i="13"/>
  <c r="P708" i="13" s="1"/>
  <c r="Q708" i="13" l="1"/>
  <c r="Q707" i="13"/>
  <c r="C10" i="14" l="1"/>
  <c r="Q10" i="14" s="1"/>
  <c r="T33" i="14" l="1"/>
  <c r="T34" i="14"/>
  <c r="M34" i="14"/>
  <c r="C33" i="14"/>
  <c r="M33" i="14"/>
  <c r="O33" i="14"/>
  <c r="P33" i="14" s="1"/>
  <c r="X33" i="14"/>
  <c r="X34" i="14"/>
  <c r="O34" i="14"/>
  <c r="Q34" i="14" s="1"/>
  <c r="C26" i="14"/>
  <c r="P26" i="14"/>
  <c r="R706" i="13"/>
  <c r="M28" i="14"/>
  <c r="O28" i="14"/>
  <c r="P28" i="14" s="1"/>
  <c r="C9" i="14"/>
  <c r="Q9" i="14" s="1"/>
  <c r="Q33" i="14" l="1"/>
  <c r="P34" i="14"/>
  <c r="Q26" i="14"/>
  <c r="Q28" i="14"/>
  <c r="T11" i="14"/>
  <c r="C11" i="14"/>
  <c r="C7" i="14"/>
  <c r="D7" i="14"/>
  <c r="Q7" i="14"/>
  <c r="Q705" i="13"/>
  <c r="C36" i="14"/>
  <c r="M36" i="14"/>
  <c r="O36" i="14"/>
  <c r="C703" i="13"/>
  <c r="Q703" i="13" s="1"/>
  <c r="T703" i="13"/>
  <c r="Q704" i="13"/>
  <c r="Q702" i="13"/>
  <c r="T702" i="13"/>
  <c r="Q36" i="14" l="1"/>
  <c r="Q11" i="14"/>
  <c r="P36" i="14"/>
  <c r="X25" i="10"/>
  <c r="T29" i="14"/>
  <c r="T35" i="14"/>
  <c r="O29" i="14"/>
  <c r="M29" i="14"/>
  <c r="C29" i="14"/>
  <c r="C701" i="13"/>
  <c r="Q701" i="13" s="1"/>
  <c r="M701" i="13"/>
  <c r="O9" i="10"/>
  <c r="P9" i="10" s="1"/>
  <c r="N9" i="10"/>
  <c r="C9" i="10"/>
  <c r="N6" i="10"/>
  <c r="N10" i="10"/>
  <c r="N12" i="10"/>
  <c r="N15" i="10"/>
  <c r="N13" i="10"/>
  <c r="O40" i="14"/>
  <c r="O42" i="14"/>
  <c r="O37" i="14"/>
  <c r="O38" i="14"/>
  <c r="O39" i="14"/>
  <c r="P39" i="14" s="1"/>
  <c r="O41" i="14"/>
  <c r="M41" i="14"/>
  <c r="M40" i="14"/>
  <c r="M37" i="14"/>
  <c r="M38" i="14"/>
  <c r="M39" i="14"/>
  <c r="T3" i="14"/>
  <c r="Q700" i="13"/>
  <c r="T700" i="13"/>
  <c r="C35" i="14"/>
  <c r="Q35" i="14" s="1"/>
  <c r="C699" i="13"/>
  <c r="M698" i="13"/>
  <c r="Q698" i="13"/>
  <c r="C39" i="14"/>
  <c r="P29" i="14" l="1"/>
  <c r="Q9" i="10"/>
  <c r="Q39" i="14"/>
  <c r="O58" i="10" l="1"/>
  <c r="M58" i="10"/>
  <c r="C58" i="10"/>
  <c r="O57" i="10"/>
  <c r="P57" i="10" s="1"/>
  <c r="M57" i="10"/>
  <c r="C57" i="10"/>
  <c r="X56" i="10"/>
  <c r="X55" i="10"/>
  <c r="O56" i="10"/>
  <c r="P56" i="10" s="1"/>
  <c r="M56" i="10"/>
  <c r="C56" i="10"/>
  <c r="O55" i="10"/>
  <c r="M55" i="10"/>
  <c r="C55" i="10"/>
  <c r="C7" i="10"/>
  <c r="Q7" i="10" s="1"/>
  <c r="Q697" i="13"/>
  <c r="T697" i="13"/>
  <c r="C41" i="14"/>
  <c r="P41" i="14"/>
  <c r="C40" i="14"/>
  <c r="P40" i="14"/>
  <c r="Q58" i="10" l="1"/>
  <c r="P58" i="10"/>
  <c r="Q57" i="10"/>
  <c r="Q56" i="10"/>
  <c r="Q55" i="10"/>
  <c r="P55" i="10"/>
  <c r="Q41" i="14"/>
  <c r="Q40" i="14"/>
  <c r="O25" i="10" l="1"/>
  <c r="M25" i="14"/>
  <c r="O25" i="14"/>
  <c r="P25" i="14" s="1"/>
  <c r="C21" i="14"/>
  <c r="M21" i="14"/>
  <c r="O21" i="14"/>
  <c r="P21" i="14" s="1"/>
  <c r="X22" i="10"/>
  <c r="O24" i="10"/>
  <c r="M24" i="10"/>
  <c r="C24" i="10"/>
  <c r="O23" i="10"/>
  <c r="M23" i="10"/>
  <c r="C23" i="10"/>
  <c r="O6" i="10"/>
  <c r="O10" i="10"/>
  <c r="O12" i="10"/>
  <c r="O22" i="10"/>
  <c r="M22" i="10"/>
  <c r="C22" i="10"/>
  <c r="X20" i="14"/>
  <c r="Q25" i="10" l="1"/>
  <c r="Q22" i="10"/>
  <c r="Q25" i="14"/>
  <c r="Q24" i="10"/>
  <c r="Q21" i="14"/>
  <c r="Q23" i="10"/>
  <c r="T32" i="14" l="1"/>
  <c r="T27" i="14"/>
  <c r="C695" i="13"/>
  <c r="Q695" i="13" s="1"/>
  <c r="T695" i="13"/>
  <c r="C694" i="13"/>
  <c r="Q694" i="13" s="1"/>
  <c r="C5" i="10"/>
  <c r="N5" i="10"/>
  <c r="O5" i="10"/>
  <c r="P5" i="10" s="1"/>
  <c r="C693" i="13"/>
  <c r="Q693" i="13" s="1"/>
  <c r="C42" i="14"/>
  <c r="Q42" i="14" s="1"/>
  <c r="M42" i="14"/>
  <c r="P42" i="14"/>
  <c r="X19" i="10"/>
  <c r="X17" i="10"/>
  <c r="X16" i="10"/>
  <c r="C691" i="13"/>
  <c r="C692" i="13"/>
  <c r="C690" i="13"/>
  <c r="Q690" i="13" s="1"/>
  <c r="C20" i="14"/>
  <c r="Q20" i="14" s="1"/>
  <c r="C30" i="14"/>
  <c r="M30" i="14"/>
  <c r="O30" i="14"/>
  <c r="P30" i="14" s="1"/>
  <c r="T31" i="14"/>
  <c r="Q31" i="14"/>
  <c r="C21" i="10"/>
  <c r="Q30" i="14" l="1"/>
  <c r="Q5" i="10"/>
  <c r="Q21" i="10"/>
  <c r="C22" i="14" l="1"/>
  <c r="Q22" i="14" s="1"/>
  <c r="M22" i="14"/>
  <c r="P22" i="14"/>
  <c r="M19" i="10"/>
  <c r="O19" i="10"/>
  <c r="P19" i="10" s="1"/>
  <c r="C19" i="10"/>
  <c r="Q19" i="10" l="1"/>
  <c r="C23" i="14" l="1"/>
  <c r="Q23" i="14" s="1"/>
  <c r="C687" i="13"/>
  <c r="M687" i="13"/>
  <c r="O687" i="13"/>
  <c r="P687" i="13" s="1"/>
  <c r="C688" i="13"/>
  <c r="Q688" i="13" s="1"/>
  <c r="M688" i="13"/>
  <c r="M689" i="13"/>
  <c r="Q689" i="13"/>
  <c r="Q3" i="14"/>
  <c r="C20" i="10"/>
  <c r="O20" i="10"/>
  <c r="M20" i="10"/>
  <c r="M18" i="10"/>
  <c r="O17" i="10"/>
  <c r="P17" i="10" s="1"/>
  <c r="M17" i="10"/>
  <c r="C17" i="10"/>
  <c r="O16" i="10"/>
  <c r="P16" i="10" s="1"/>
  <c r="M16" i="10"/>
  <c r="C16" i="10"/>
  <c r="P6" i="10"/>
  <c r="C6" i="10"/>
  <c r="C41" i="10"/>
  <c r="O41" i="10"/>
  <c r="P41" i="10" s="1"/>
  <c r="M41" i="10"/>
  <c r="Q686" i="13"/>
  <c r="C32" i="14"/>
  <c r="Q32" i="14" s="1"/>
  <c r="Q20" i="10" l="1"/>
  <c r="Q687" i="13"/>
  <c r="P20" i="10"/>
  <c r="Q17" i="10"/>
  <c r="Q16" i="10"/>
  <c r="Q41" i="10"/>
  <c r="Q685" i="13"/>
  <c r="M684" i="13"/>
  <c r="Q684" i="13"/>
  <c r="C37" i="14" l="1"/>
  <c r="X37" i="14"/>
  <c r="C38" i="14"/>
  <c r="P38" i="14"/>
  <c r="X38" i="14"/>
  <c r="Q683" i="13"/>
  <c r="T683" i="13"/>
  <c r="P10" i="10"/>
  <c r="C10" i="10"/>
  <c r="C13" i="10"/>
  <c r="O13" i="10"/>
  <c r="P13" i="10" s="1"/>
  <c r="C17" i="14"/>
  <c r="Q17" i="14" s="1"/>
  <c r="M17" i="14"/>
  <c r="P17" i="14"/>
  <c r="Q682" i="13"/>
  <c r="C681" i="13"/>
  <c r="Q681" i="13" s="1"/>
  <c r="T681" i="13"/>
  <c r="Q37" i="14" l="1"/>
  <c r="Q38" i="14"/>
  <c r="P37" i="14"/>
  <c r="Q10" i="10"/>
  <c r="Q13" i="10"/>
  <c r="C680" i="13"/>
  <c r="Q680" i="13" s="1"/>
  <c r="T680" i="13"/>
  <c r="O679" i="13"/>
  <c r="P679" i="13" s="1"/>
  <c r="Q678" i="13"/>
  <c r="X678" i="13"/>
  <c r="O677" i="13"/>
  <c r="P677" i="13" s="1"/>
  <c r="O15" i="10"/>
  <c r="P15" i="10" s="1"/>
  <c r="O59" i="10"/>
  <c r="P59" i="10" s="1"/>
  <c r="C59" i="10"/>
  <c r="O46" i="10"/>
  <c r="Q46" i="10" s="1"/>
  <c r="O47" i="10"/>
  <c r="P47" i="10" s="1"/>
  <c r="Q679" i="13" l="1"/>
  <c r="Q677" i="13"/>
  <c r="P46" i="10"/>
  <c r="Q47" i="10"/>
  <c r="M6" i="14" l="1"/>
  <c r="O6" i="14"/>
  <c r="P6" i="14" s="1"/>
  <c r="X6" i="14"/>
  <c r="Q6" i="14" l="1"/>
  <c r="C13" i="14" l="1"/>
  <c r="M13" i="14"/>
  <c r="O13" i="14"/>
  <c r="P13" i="14" s="1"/>
  <c r="Q15" i="14"/>
  <c r="X15" i="14"/>
  <c r="Q16" i="14"/>
  <c r="X16" i="14"/>
  <c r="Q13" i="14" l="1"/>
  <c r="C27" i="14" l="1"/>
  <c r="Q27" i="14" s="1"/>
  <c r="Q3" i="10" l="1"/>
  <c r="P3" i="10"/>
  <c r="C5" i="14"/>
  <c r="Q5" i="14" s="1"/>
  <c r="X5" i="14"/>
  <c r="C676" i="13" l="1"/>
  <c r="Q674" i="13"/>
  <c r="Q675" i="13"/>
  <c r="Q673" i="13" l="1"/>
  <c r="C672" i="13" l="1"/>
  <c r="Q672" i="13" s="1"/>
  <c r="M671" i="13" l="1"/>
  <c r="Q671" i="13"/>
  <c r="N4" i="10"/>
  <c r="Q670" i="13"/>
  <c r="M669" i="13"/>
  <c r="O669" i="13"/>
  <c r="P669" i="13" s="1"/>
  <c r="Q669" i="13" l="1"/>
  <c r="C4" i="14" l="1"/>
  <c r="Q4" i="14" s="1"/>
  <c r="M4" i="14"/>
  <c r="P4" i="14"/>
  <c r="O4" i="10" l="1"/>
  <c r="P4" i="10" s="1"/>
  <c r="C4" i="10"/>
  <c r="O24" i="14"/>
  <c r="C24" i="14"/>
  <c r="T667" i="13"/>
  <c r="C668" i="13"/>
  <c r="Q668" i="13" s="1"/>
  <c r="Q24" i="14" l="1"/>
  <c r="Q4" i="10"/>
  <c r="P24" i="14"/>
  <c r="Q667" i="13"/>
  <c r="Q18" i="14" l="1"/>
  <c r="Q666" i="13"/>
  <c r="M664" i="13" l="1"/>
  <c r="Q664" i="13"/>
  <c r="C19" i="14" l="1"/>
  <c r="C8" i="14"/>
  <c r="C663" i="13" l="1"/>
  <c r="Q663" i="13" s="1"/>
  <c r="M662" i="13" l="1"/>
  <c r="Q662" i="13"/>
  <c r="X662" i="13"/>
  <c r="Q661" i="13" l="1"/>
  <c r="T661" i="13"/>
  <c r="O30" i="10"/>
  <c r="P30" i="10" s="1"/>
  <c r="O31" i="10"/>
  <c r="P31" i="10" s="1"/>
  <c r="O32" i="10"/>
  <c r="P32" i="10" s="1"/>
  <c r="O33" i="10"/>
  <c r="P33" i="10" s="1"/>
  <c r="O34" i="10"/>
  <c r="P34" i="10" s="1"/>
  <c r="C34" i="10"/>
  <c r="C33" i="10"/>
  <c r="C32" i="10"/>
  <c r="C31" i="10"/>
  <c r="C30" i="10"/>
  <c r="C660" i="13" l="1"/>
  <c r="Q660" i="13" s="1"/>
  <c r="X19" i="14" l="1"/>
  <c r="O35" i="10" l="1"/>
  <c r="P35" i="10" s="1"/>
  <c r="O36" i="10"/>
  <c r="P36" i="10" s="1"/>
  <c r="O37" i="10"/>
  <c r="P37" i="10" s="1"/>
  <c r="O38" i="10"/>
  <c r="P38" i="10" s="1"/>
  <c r="O39" i="10"/>
  <c r="P39" i="10" s="1"/>
  <c r="O40" i="10"/>
  <c r="P40" i="10" s="1"/>
  <c r="P12" i="10"/>
  <c r="O42" i="10"/>
  <c r="P42" i="10" s="1"/>
  <c r="O43" i="10"/>
  <c r="P43" i="10" s="1"/>
  <c r="O44" i="10"/>
  <c r="P44" i="10" s="1"/>
  <c r="O45" i="10"/>
  <c r="P45" i="10" s="1"/>
  <c r="O48" i="10"/>
  <c r="P48" i="10" s="1"/>
  <c r="O49" i="10"/>
  <c r="P49" i="10" s="1"/>
  <c r="O50" i="10"/>
  <c r="P50" i="10" s="1"/>
  <c r="O51" i="10"/>
  <c r="P51" i="10" s="1"/>
  <c r="O52" i="10"/>
  <c r="O53" i="10"/>
  <c r="P53" i="10" s="1"/>
  <c r="O54" i="10"/>
  <c r="P54" i="10" s="1"/>
  <c r="O18" i="10"/>
  <c r="P18" i="10" s="1"/>
  <c r="O19" i="14"/>
  <c r="P19" i="14" s="1"/>
  <c r="O638" i="13"/>
  <c r="O637" i="13"/>
  <c r="Q19" i="14" l="1"/>
  <c r="Q658" i="13" l="1"/>
  <c r="Q659" i="13"/>
  <c r="O8" i="14"/>
  <c r="M8" i="14"/>
  <c r="Q8" i="14" l="1"/>
  <c r="P8" i="14"/>
  <c r="C2" i="10"/>
  <c r="C657" i="13" l="1"/>
  <c r="Q657" i="13" s="1"/>
  <c r="C656" i="13" l="1"/>
  <c r="Q656" i="13" s="1"/>
  <c r="M655" i="13"/>
  <c r="Q655" i="13"/>
  <c r="M654" i="13"/>
  <c r="Q654" i="13"/>
  <c r="Q653" i="13" l="1"/>
  <c r="M652" i="13" l="1"/>
  <c r="Q652" i="13"/>
  <c r="Q2" i="10"/>
  <c r="Q651" i="13" l="1"/>
  <c r="Q650" i="13"/>
  <c r="Q649" i="13" l="1"/>
  <c r="T649" i="13"/>
  <c r="P648" i="13" l="1"/>
  <c r="Q648" i="13"/>
  <c r="Q647" i="13" l="1"/>
  <c r="C52" i="10" l="1"/>
  <c r="Q646" i="13" l="1"/>
  <c r="Q645" i="13"/>
  <c r="Q644" i="13"/>
  <c r="Q642" i="13" l="1"/>
  <c r="O643" i="13"/>
  <c r="Q643" i="13" s="1"/>
  <c r="Q11" i="10" l="1"/>
  <c r="Q14" i="10"/>
  <c r="Q54" i="10"/>
  <c r="Q53" i="10"/>
  <c r="Q51" i="10"/>
  <c r="Q50" i="10"/>
  <c r="Q49" i="10"/>
  <c r="Q48" i="10"/>
  <c r="Q45" i="10"/>
  <c r="Q44" i="10"/>
  <c r="Q43" i="10"/>
  <c r="Q42" i="10"/>
  <c r="Q12" i="10"/>
  <c r="Q40" i="10"/>
  <c r="Q39" i="10"/>
  <c r="Q38" i="10"/>
  <c r="Q37" i="10"/>
  <c r="Q36" i="10"/>
  <c r="Q35" i="10"/>
  <c r="Q18" i="10"/>
  <c r="Q52" i="10" l="1"/>
  <c r="P52" i="10"/>
  <c r="O633" i="13" l="1"/>
  <c r="Q639" i="13" l="1"/>
  <c r="Y51" i="14"/>
  <c r="X61" i="14"/>
  <c r="Q634" i="13"/>
  <c r="Q626" i="13"/>
  <c r="Q627" i="13"/>
  <c r="O622" i="13"/>
  <c r="Q622" i="13" s="1"/>
  <c r="O621" i="13"/>
  <c r="Q621" i="13" s="1"/>
  <c r="Q620" i="13"/>
  <c r="Q619" i="13"/>
  <c r="Q617" i="13"/>
  <c r="Q611" i="13" l="1"/>
  <c r="O610" i="13"/>
  <c r="Q610" i="13" s="1"/>
  <c r="O606" i="13"/>
  <c r="Q606" i="13" s="1"/>
  <c r="X606" i="13"/>
  <c r="O607" i="13"/>
  <c r="Q607" i="13" s="1"/>
  <c r="X607" i="13"/>
  <c r="O608" i="13"/>
  <c r="Q608" i="13" s="1"/>
  <c r="X608" i="13"/>
  <c r="Q604" i="13"/>
  <c r="Q603" i="13"/>
  <c r="O598" i="13"/>
  <c r="Q598" i="13" s="1"/>
  <c r="Q597" i="13"/>
  <c r="O595" i="13"/>
  <c r="Q595" i="13" s="1"/>
  <c r="X595" i="13"/>
  <c r="X594" i="13"/>
  <c r="Q593" i="13"/>
  <c r="O592" i="13"/>
  <c r="Q592" i="13" s="1"/>
  <c r="O589" i="13"/>
  <c r="Q589" i="13" s="1"/>
  <c r="O588" i="13"/>
  <c r="Q588" i="13" s="1"/>
  <c r="Q524" i="13" l="1"/>
  <c r="Q566" i="13"/>
  <c r="Q587" i="13"/>
  <c r="Q584" i="13"/>
  <c r="X584" i="13"/>
  <c r="X585" i="13"/>
  <c r="Q586" i="13"/>
  <c r="Q579" i="13"/>
  <c r="O580" i="13"/>
  <c r="Q580" i="13" s="1"/>
  <c r="X580" i="13"/>
  <c r="Q578" i="13"/>
  <c r="Q577" i="13"/>
  <c r="O576" i="13" l="1"/>
  <c r="Q576" i="13" s="1"/>
  <c r="Q574" i="13"/>
  <c r="Q573" i="13"/>
  <c r="O572" i="13"/>
  <c r="O571" i="13"/>
  <c r="X571" i="13"/>
  <c r="O569" i="13" l="1"/>
  <c r="X567" i="13" l="1"/>
  <c r="Q565" i="13"/>
  <c r="Q563" i="13"/>
  <c r="X562" i="13" l="1"/>
  <c r="Q561" i="13"/>
  <c r="O560" i="13"/>
  <c r="Q560" i="13" l="1"/>
  <c r="Q559" i="13"/>
  <c r="Q558" i="13" l="1"/>
  <c r="Q555" i="13" l="1"/>
  <c r="O551" i="13" l="1"/>
  <c r="Q551" i="13" s="1"/>
  <c r="X551" i="13"/>
  <c r="Q548" i="13" l="1"/>
  <c r="Q549" i="13"/>
  <c r="Q546" i="13"/>
  <c r="Q542" i="13" l="1"/>
  <c r="O541" i="13"/>
  <c r="Q541" i="13" s="1"/>
  <c r="Q540" i="13" l="1"/>
  <c r="Q538" i="13"/>
  <c r="Q539" i="13"/>
  <c r="X539" i="13"/>
  <c r="O537" i="13"/>
  <c r="Q537" i="13" s="1"/>
  <c r="Q535" i="13" l="1"/>
  <c r="Q534" i="13"/>
  <c r="X534" i="13"/>
  <c r="Q533" i="13"/>
  <c r="X533" i="13"/>
  <c r="Q530" i="13"/>
  <c r="Q531" i="13"/>
  <c r="Q532" i="13"/>
  <c r="O528" i="13"/>
  <c r="Q528" i="13" s="1"/>
  <c r="O529" i="13"/>
  <c r="Q529" i="13" s="1"/>
  <c r="Q527" i="13"/>
  <c r="Q526" i="13" l="1"/>
  <c r="Q525" i="13"/>
  <c r="Q520" i="13"/>
  <c r="Q521" i="13"/>
  <c r="O522" i="13"/>
  <c r="Q522" i="13" s="1"/>
  <c r="O519" i="13"/>
  <c r="Q519" i="13" s="1"/>
  <c r="Q517" i="13" l="1"/>
  <c r="X517" i="13"/>
  <c r="O518" i="13"/>
  <c r="Q518" i="13" s="1"/>
  <c r="O512" i="13"/>
  <c r="Q512" i="13" s="1"/>
  <c r="Q513" i="13"/>
  <c r="Q514" i="13"/>
  <c r="O515" i="13"/>
  <c r="Q515" i="13" s="1"/>
  <c r="O516" i="13"/>
  <c r="Q516" i="13" s="1"/>
  <c r="Q511" i="13" l="1"/>
  <c r="Q510" i="13" l="1"/>
  <c r="Q509" i="13"/>
  <c r="X509" i="13"/>
  <c r="O508" i="13" l="1"/>
  <c r="Q508" i="13" s="1"/>
  <c r="Q507" i="13" l="1"/>
  <c r="O506" i="13" l="1"/>
  <c r="Q506" i="13" s="1"/>
  <c r="O505" i="13" l="1"/>
  <c r="Q505" i="13" s="1"/>
  <c r="Q504" i="13"/>
  <c r="Q503" i="13"/>
  <c r="Q500" i="13"/>
  <c r="O501" i="13"/>
  <c r="Q501" i="13" s="1"/>
  <c r="Q499" i="13"/>
  <c r="Q495" i="13"/>
  <c r="X495" i="13"/>
  <c r="O496" i="13"/>
  <c r="Q496" i="13" s="1"/>
  <c r="O497" i="13"/>
  <c r="Q497" i="13" s="1"/>
  <c r="O498" i="13"/>
  <c r="Q498" i="13" s="1"/>
  <c r="Q493" i="13" l="1"/>
  <c r="Q494" i="13"/>
  <c r="X494" i="13"/>
  <c r="Q491" i="13"/>
  <c r="Q492" i="13"/>
  <c r="X492" i="13"/>
  <c r="Q488" i="13"/>
  <c r="X488" i="13"/>
  <c r="Q489" i="13"/>
  <c r="Q490" i="13"/>
  <c r="Q487" i="13" l="1"/>
  <c r="Q485" i="13"/>
  <c r="Q486" i="13"/>
  <c r="Q484" i="13" l="1"/>
  <c r="Q481" i="13" l="1"/>
  <c r="X481" i="13"/>
  <c r="Q480" i="13"/>
  <c r="Q479" i="13"/>
  <c r="Q476" i="13" l="1"/>
  <c r="Q477" i="13"/>
  <c r="Q475" i="13"/>
  <c r="Q473" i="13"/>
  <c r="Q474" i="13"/>
  <c r="O454" i="13"/>
  <c r="Q468" i="13"/>
  <c r="Q469" i="13"/>
  <c r="Q467" i="13"/>
  <c r="Q466" i="13"/>
  <c r="O465" i="13"/>
  <c r="Q465" i="13" s="1"/>
  <c r="X465" i="13"/>
  <c r="Q462" i="13" l="1"/>
  <c r="O463" i="13"/>
  <c r="Q463" i="13" s="1"/>
  <c r="Q461" i="13" l="1"/>
  <c r="O460" i="13"/>
  <c r="Q460" i="13" s="1"/>
  <c r="O458" i="13"/>
  <c r="Q458" i="13" s="1"/>
  <c r="O459" i="13"/>
  <c r="Q459" i="13" s="1"/>
  <c r="Q455" i="13" l="1"/>
  <c r="X455" i="13"/>
  <c r="O457" i="13"/>
  <c r="Q457" i="13" s="1"/>
  <c r="O453" i="13" l="1"/>
  <c r="Q447" i="13" l="1"/>
  <c r="Q448" i="13"/>
  <c r="Q449" i="13"/>
  <c r="Q450" i="13"/>
  <c r="O433" i="13" l="1"/>
  <c r="Q444" i="13"/>
  <c r="Q445" i="13"/>
  <c r="O446" i="13"/>
  <c r="Q446" i="13" s="1"/>
  <c r="Q441" i="13"/>
  <c r="X441" i="13"/>
  <c r="Q440" i="13" l="1"/>
  <c r="G6" i="17" l="1"/>
  <c r="G7" i="17"/>
  <c r="G8" i="17"/>
  <c r="G9" i="17"/>
  <c r="G10" i="17"/>
  <c r="G11" i="17"/>
  <c r="G12" i="17"/>
  <c r="G13" i="17"/>
  <c r="G14" i="17"/>
  <c r="G15" i="17"/>
  <c r="G16" i="17"/>
  <c r="G17" i="17"/>
  <c r="G18" i="17"/>
  <c r="G19" i="17"/>
  <c r="G20" i="17"/>
  <c r="G21" i="17"/>
  <c r="G22" i="17"/>
  <c r="G23" i="17"/>
  <c r="G24" i="17"/>
  <c r="G4" i="17"/>
  <c r="A2" i="17"/>
  <c r="G27" i="17" l="1"/>
  <c r="Q435" i="13"/>
  <c r="O436" i="13"/>
  <c r="Q436" i="13" s="1"/>
  <c r="Q438" i="13"/>
  <c r="X438" i="13"/>
  <c r="Q432" i="13"/>
  <c r="X432" i="13"/>
  <c r="Q431" i="13" l="1"/>
  <c r="O430" i="13" l="1"/>
  <c r="X430" i="13"/>
  <c r="Q427" i="13"/>
  <c r="Q428" i="13"/>
  <c r="O425" i="13" l="1"/>
  <c r="Q425" i="13" s="1"/>
  <c r="O426" i="13"/>
  <c r="Q426" i="13" s="1"/>
  <c r="O414" i="13"/>
  <c r="Q420" i="13"/>
  <c r="O423" i="13"/>
  <c r="Q423" i="13" s="1"/>
  <c r="O424" i="13"/>
  <c r="Q424" i="13" s="1"/>
  <c r="Q419" i="13" l="1"/>
  <c r="Q418" i="13" l="1"/>
  <c r="Q416" i="13"/>
  <c r="Q412" i="13" l="1"/>
  <c r="Q413" i="13"/>
  <c r="Q414" i="13"/>
  <c r="O415" i="13"/>
  <c r="Q415" i="13" s="1"/>
  <c r="X415" i="13"/>
  <c r="Q410" i="13" l="1"/>
  <c r="Q411" i="13"/>
  <c r="Q409" i="13" l="1"/>
  <c r="X409" i="13"/>
  <c r="Q407" i="13" l="1"/>
  <c r="O408" i="13"/>
  <c r="Q408" i="13" s="1"/>
  <c r="O406" i="13"/>
  <c r="Q406" i="13" s="1"/>
  <c r="Q405" i="13"/>
  <c r="Q403" i="13"/>
  <c r="Q404" i="13"/>
  <c r="Q402" i="13"/>
  <c r="X402" i="13"/>
  <c r="O401" i="13"/>
  <c r="Q401" i="13" s="1"/>
  <c r="O398" i="13"/>
  <c r="Q398" i="13" s="1"/>
  <c r="O399" i="13"/>
  <c r="Q399" i="13" s="1"/>
  <c r="O400" i="13"/>
  <c r="Q400" i="13" s="1"/>
  <c r="Q397" i="13"/>
  <c r="Q394" i="13"/>
  <c r="Q392" i="13" l="1"/>
  <c r="Q391" i="13"/>
  <c r="O387" i="13"/>
  <c r="O386" i="13"/>
  <c r="Q385" i="13"/>
  <c r="Q381" i="13"/>
  <c r="Q382" i="13"/>
  <c r="Q383" i="13"/>
  <c r="O384" i="13"/>
  <c r="Q384" i="13" s="1"/>
  <c r="O379" i="13" l="1"/>
  <c r="Q380" i="13"/>
  <c r="Q375" i="13"/>
  <c r="Q376" i="13"/>
  <c r="Q377" i="13"/>
  <c r="Q378" i="13"/>
  <c r="O372" i="13"/>
  <c r="O373" i="13"/>
  <c r="X374" i="13"/>
  <c r="O371" i="13"/>
  <c r="Q371" i="13" s="1"/>
  <c r="O370" i="13" l="1"/>
  <c r="Q370" i="13" s="1"/>
  <c r="Q368" i="13"/>
  <c r="Q367" i="13"/>
  <c r="Q366" i="13"/>
  <c r="Q364" i="13"/>
  <c r="Q363" i="13"/>
  <c r="Q361" i="13"/>
  <c r="X361" i="13"/>
  <c r="Q360" i="13"/>
  <c r="Q359" i="13"/>
  <c r="Q357" i="13" l="1"/>
  <c r="Q358" i="13"/>
  <c r="O356" i="13" l="1"/>
  <c r="Q356" i="13" s="1"/>
  <c r="Q334" i="13"/>
  <c r="Q353" i="13"/>
  <c r="O354" i="13"/>
  <c r="Q354" i="13" s="1"/>
  <c r="X354" i="13"/>
  <c r="Q351" i="13"/>
  <c r="Q350" i="13"/>
  <c r="X350" i="13"/>
  <c r="Q349" i="13"/>
  <c r="Q343" i="13"/>
  <c r="X343" i="13"/>
  <c r="Q344" i="13"/>
  <c r="Q345" i="13"/>
  <c r="Q346" i="13"/>
  <c r="Q347" i="13"/>
  <c r="Q348" i="13"/>
  <c r="O341" i="13"/>
  <c r="Q341" i="13" s="1"/>
  <c r="Q342" i="13"/>
  <c r="X342" i="13"/>
  <c r="Q332" i="13" l="1"/>
  <c r="Q333" i="13"/>
  <c r="Q335" i="13"/>
  <c r="O329" i="13"/>
  <c r="Q329" i="13" s="1"/>
  <c r="O330" i="13"/>
  <c r="Q331" i="13"/>
  <c r="O327" i="13"/>
  <c r="Q327" i="13" s="1"/>
  <c r="Q328" i="13"/>
  <c r="O324" i="13"/>
  <c r="Q324" i="13" s="1"/>
  <c r="Q323" i="13"/>
  <c r="O322" i="13"/>
  <c r="Q322" i="13" s="1"/>
  <c r="O320" i="13"/>
  <c r="Q320" i="13" s="1"/>
  <c r="O321" i="13"/>
  <c r="Q321" i="13" s="1"/>
  <c r="O316" i="13" l="1"/>
  <c r="O315" i="13"/>
  <c r="O312" i="13" l="1"/>
  <c r="Q312" i="13" s="1"/>
  <c r="O313" i="13"/>
  <c r="Q313" i="13" s="1"/>
  <c r="O314" i="13"/>
  <c r="Q314" i="13" s="1"/>
  <c r="Q315" i="13"/>
  <c r="Q316" i="13"/>
  <c r="Q317" i="13"/>
  <c r="O318" i="13"/>
  <c r="O290" i="13"/>
  <c r="O311" i="13" l="1"/>
  <c r="Q311" i="13" s="1"/>
  <c r="Q310" i="13"/>
  <c r="X310" i="13"/>
  <c r="Q308" i="13"/>
  <c r="Q309" i="13"/>
  <c r="Q306" i="13"/>
  <c r="Q303" i="13" l="1"/>
  <c r="Q302" i="13"/>
  <c r="C300" i="13"/>
  <c r="O300" i="13"/>
  <c r="Q301" i="13"/>
  <c r="Q300" i="13" l="1"/>
  <c r="O299" i="13" l="1"/>
  <c r="Q299" i="13" s="1"/>
  <c r="O296" i="13"/>
  <c r="Q296" i="13" s="1"/>
  <c r="X296" i="13"/>
  <c r="Q295" i="13"/>
  <c r="O294" i="13"/>
  <c r="Q294" i="13" s="1"/>
  <c r="O293" i="13"/>
  <c r="Q293" i="13" s="1"/>
  <c r="X293" i="13"/>
  <c r="C292" i="13"/>
  <c r="O292" i="13"/>
  <c r="X292" i="13"/>
  <c r="O291" i="13"/>
  <c r="Q291" i="13" s="1"/>
  <c r="X291" i="13"/>
  <c r="O289" i="13"/>
  <c r="Q289" i="13" s="1"/>
  <c r="Q290" i="13"/>
  <c r="Q292" i="13" l="1"/>
  <c r="AD292" i="13"/>
  <c r="O288" i="13"/>
  <c r="Q288" i="13" s="1"/>
  <c r="X288" i="13"/>
  <c r="Q287" i="13"/>
  <c r="Q284" i="13"/>
  <c r="Q285" i="13"/>
  <c r="Q286" i="13"/>
  <c r="Q282" i="13" l="1"/>
  <c r="Q283" i="13"/>
  <c r="Q281" i="13"/>
  <c r="O279" i="13"/>
  <c r="Q279" i="13" s="1"/>
  <c r="Q268" i="13"/>
  <c r="O278" i="13"/>
  <c r="Q278" i="13" s="1"/>
  <c r="Q273" i="13"/>
  <c r="O274" i="13"/>
  <c r="Q274" i="13" s="1"/>
  <c r="Q275" i="13"/>
  <c r="Q272" i="13"/>
  <c r="X272" i="13"/>
  <c r="Q271" i="13"/>
  <c r="Q269" i="13" l="1"/>
  <c r="Q270" i="13"/>
  <c r="Q267" i="13" l="1"/>
  <c r="O260" i="13" l="1"/>
  <c r="O255" i="13"/>
  <c r="Q265" i="13"/>
  <c r="O262" i="13" l="1"/>
  <c r="Q262" i="13" s="1"/>
  <c r="O259" i="13" l="1"/>
  <c r="Q259" i="13" s="1"/>
  <c r="X259" i="13"/>
  <c r="Q260" i="13"/>
  <c r="X260" i="13"/>
  <c r="C258" i="13"/>
  <c r="Q258" i="13" s="1"/>
  <c r="X258" i="13"/>
  <c r="Q255" i="13"/>
  <c r="Q256" i="13"/>
  <c r="C257" i="13"/>
  <c r="Q257" i="13" s="1"/>
  <c r="Q254" i="13" l="1"/>
  <c r="O253" i="13"/>
  <c r="Q253" i="13" s="1"/>
  <c r="O252" i="13"/>
  <c r="Q252" i="13" s="1"/>
  <c r="X252" i="13"/>
  <c r="Q247" i="13" l="1"/>
  <c r="O248" i="13"/>
  <c r="Q248" i="13" s="1"/>
  <c r="C250" i="13"/>
  <c r="O250" i="13"/>
  <c r="O251" i="13"/>
  <c r="Q251" i="13" s="1"/>
  <c r="O243" i="13" l="1"/>
  <c r="X244" i="13"/>
  <c r="Q245" i="13"/>
  <c r="O246" i="13"/>
  <c r="Q246" i="13" s="1"/>
  <c r="C240" i="13"/>
  <c r="C241" i="13"/>
  <c r="C242" i="13"/>
  <c r="O239" i="13" l="1"/>
  <c r="Q239" i="13" s="1"/>
  <c r="Q234" i="13"/>
  <c r="Q235" i="13"/>
  <c r="Q233" i="13" l="1"/>
  <c r="Q229" i="13"/>
  <c r="Q230" i="13"/>
  <c r="Q231" i="13"/>
  <c r="Q227" i="13"/>
  <c r="C228" i="13"/>
  <c r="Q228" i="13" s="1"/>
  <c r="C226" i="13" l="1"/>
  <c r="Q226" i="13" s="1"/>
  <c r="Q225" i="13"/>
  <c r="Q219" i="13" l="1"/>
  <c r="Q220" i="13"/>
  <c r="Q221" i="13"/>
  <c r="Q222" i="13"/>
  <c r="X222" i="13"/>
  <c r="Q223" i="13"/>
  <c r="X223" i="13"/>
  <c r="O213" i="13" l="1"/>
  <c r="Q213" i="13" s="1"/>
  <c r="X213" i="13"/>
  <c r="O214" i="13"/>
  <c r="Q214" i="13" s="1"/>
  <c r="X214" i="13"/>
  <c r="Q215" i="13"/>
  <c r="Q216" i="13"/>
  <c r="Q211" i="13"/>
  <c r="Q212" i="13"/>
  <c r="O209" i="13" l="1"/>
  <c r="Q209" i="13" s="1"/>
  <c r="C207" i="13" l="1"/>
  <c r="O205" i="13"/>
  <c r="Q205" i="13" s="1"/>
  <c r="Q203" i="13" l="1"/>
  <c r="Q200" i="13"/>
  <c r="Q201" i="13"/>
  <c r="Q202" i="13"/>
  <c r="Q195" i="13" l="1"/>
  <c r="Q197" i="13"/>
  <c r="Q194" i="13"/>
  <c r="Q191" i="13"/>
  <c r="Q188" i="13"/>
  <c r="Q189" i="13"/>
  <c r="Q184" i="13"/>
  <c r="X184" i="13"/>
  <c r="O186" i="13"/>
  <c r="Q186" i="13" s="1"/>
  <c r="Q187" i="13"/>
  <c r="Q183" i="13"/>
  <c r="O182" i="13" l="1"/>
  <c r="Q182" i="13" s="1"/>
  <c r="X182" i="13"/>
  <c r="O181" i="13"/>
  <c r="O180" i="13"/>
  <c r="Q177" i="13" l="1"/>
  <c r="Q178" i="13"/>
  <c r="X178" i="13"/>
  <c r="Q179" i="13"/>
  <c r="Q180" i="13"/>
  <c r="Q181" i="13"/>
  <c r="Q176" i="13" l="1"/>
  <c r="Q175" i="13"/>
  <c r="Q174" i="13"/>
  <c r="Q173" i="13"/>
  <c r="Q167" i="13"/>
  <c r="O165" i="13"/>
  <c r="Q165" i="13" s="1"/>
  <c r="O166" i="13"/>
  <c r="Q166" i="13" s="1"/>
  <c r="Q162" i="13"/>
  <c r="X162" i="13"/>
  <c r="Q163" i="13"/>
  <c r="Q164" i="13"/>
  <c r="Q159" i="13" l="1"/>
  <c r="X159" i="13"/>
  <c r="Q160" i="13"/>
  <c r="Q157" i="13"/>
  <c r="Q158" i="13"/>
  <c r="X158" i="13"/>
  <c r="C156" i="13" l="1"/>
  <c r="Q156" i="13" s="1"/>
  <c r="C155" i="13"/>
  <c r="C154" i="13"/>
  <c r="Q153" i="13" l="1"/>
  <c r="Q152" i="13"/>
  <c r="Q148" i="13"/>
  <c r="X148" i="13"/>
  <c r="O149" i="13"/>
  <c r="Q149" i="13" s="1"/>
  <c r="Q150" i="13"/>
  <c r="Q151" i="13"/>
  <c r="Q147" i="13" l="1"/>
  <c r="O144" i="13"/>
  <c r="Q144" i="13" s="1"/>
  <c r="Q146" i="13"/>
  <c r="O142" i="13"/>
  <c r="Q142" i="13" s="1"/>
  <c r="Q143" i="13"/>
  <c r="C140" i="13" l="1"/>
  <c r="Q140" i="13" s="1"/>
  <c r="O141" i="13"/>
  <c r="Q141" i="13" s="1"/>
  <c r="Q138" i="13" l="1"/>
  <c r="X138" i="13"/>
  <c r="O137" i="13"/>
  <c r="Q137" i="13" s="1"/>
  <c r="O128" i="13" l="1"/>
  <c r="O134" i="13" l="1"/>
  <c r="Q134" i="13" s="1"/>
  <c r="Q135" i="13"/>
  <c r="Q133" i="13"/>
  <c r="Q131" i="13" l="1"/>
  <c r="O132" i="13"/>
  <c r="Q132" i="13" s="1"/>
  <c r="O130" i="13" l="1"/>
  <c r="Q130" i="13" s="1"/>
  <c r="X130" i="13"/>
  <c r="Q128" i="13" l="1"/>
  <c r="O129" i="13"/>
  <c r="Q129" i="13" s="1"/>
  <c r="X129" i="13"/>
  <c r="O121" i="13" l="1"/>
  <c r="Q121" i="13" s="1"/>
  <c r="Q120" i="13"/>
  <c r="O122" i="13"/>
  <c r="Q122" i="13" s="1"/>
  <c r="O123" i="13"/>
  <c r="Q123" i="13" s="1"/>
  <c r="Q118" i="13"/>
  <c r="O115" i="13" l="1"/>
  <c r="Q115" i="13" s="1"/>
  <c r="X115" i="13"/>
  <c r="O113" i="13" l="1"/>
  <c r="Q113" i="13" s="1"/>
  <c r="X113" i="13"/>
  <c r="Q111" i="13"/>
  <c r="Q112" i="13"/>
  <c r="Q109" i="13"/>
  <c r="Q108" i="13" l="1"/>
  <c r="Q106" i="13"/>
  <c r="Q107" i="13"/>
  <c r="Q104" i="13" l="1"/>
  <c r="O102" i="13" l="1"/>
  <c r="Q102" i="13" s="1"/>
  <c r="Q103" i="13"/>
  <c r="O95" i="13" l="1"/>
  <c r="Q99" i="13"/>
  <c r="X99" i="13"/>
  <c r="Q100" i="13"/>
  <c r="X100" i="13"/>
  <c r="O94" i="13"/>
  <c r="Q94" i="13" s="1"/>
  <c r="Q92" i="13" l="1"/>
  <c r="O93" i="13"/>
  <c r="Q93" i="13" s="1"/>
  <c r="Q91" i="13" l="1"/>
  <c r="Q90" i="13" l="1"/>
  <c r="Q89" i="13" l="1"/>
  <c r="X89" i="13"/>
  <c r="O87" i="13"/>
  <c r="Q87" i="13" s="1"/>
  <c r="Q86" i="13" l="1"/>
  <c r="Q85" i="13"/>
  <c r="Q83" i="13" l="1"/>
  <c r="X83" i="13"/>
  <c r="Q81" i="13"/>
  <c r="Q79" i="13"/>
  <c r="O73" i="13"/>
  <c r="Q78" i="13" l="1"/>
  <c r="Q77" i="13" l="1"/>
  <c r="Q75" i="13"/>
  <c r="O71" i="13"/>
  <c r="Q71" i="13" s="1"/>
  <c r="O72" i="13"/>
  <c r="Q72" i="13" s="1"/>
  <c r="Q68" i="13"/>
  <c r="O67" i="13"/>
  <c r="Q67" i="13" s="1"/>
  <c r="O66" i="13" l="1"/>
  <c r="Q66" i="13" s="1"/>
  <c r="Q64" i="13"/>
  <c r="X64" i="13"/>
  <c r="O65" i="13"/>
  <c r="Q65" i="13" s="1"/>
  <c r="O63" i="13" l="1"/>
  <c r="Q63" i="13" s="1"/>
  <c r="Q62" i="13" l="1"/>
  <c r="X62" i="13"/>
  <c r="Q61" i="13"/>
  <c r="Q57" i="13"/>
  <c r="Q58" i="13"/>
  <c r="X58" i="13"/>
  <c r="Q59" i="13"/>
  <c r="X59" i="13"/>
  <c r="O60" i="13"/>
  <c r="Q60" i="13" s="1"/>
  <c r="O56" i="13"/>
  <c r="Q56" i="13" s="1"/>
  <c r="Q55" i="13" l="1"/>
  <c r="Q53" i="13"/>
  <c r="Q54" i="13"/>
  <c r="Q51" i="13"/>
  <c r="Q52" i="13"/>
  <c r="Q49" i="13" l="1"/>
  <c r="Q50" i="13"/>
  <c r="Q48" i="13" l="1"/>
  <c r="Q46" i="13" l="1"/>
  <c r="Q47" i="13"/>
  <c r="Q45" i="13" l="1"/>
  <c r="X45" i="13"/>
  <c r="Q44" i="13"/>
  <c r="Q41" i="13"/>
  <c r="Q42" i="13"/>
  <c r="Q43" i="13"/>
  <c r="O38" i="13" l="1"/>
  <c r="Q38" i="13" s="1"/>
  <c r="Q39" i="13"/>
  <c r="Q40" i="13"/>
  <c r="Q36" i="13" l="1"/>
  <c r="Q33" i="13" l="1"/>
  <c r="Q31" i="13" l="1"/>
  <c r="Q32" i="13"/>
  <c r="Q26" i="13" l="1"/>
  <c r="Q27" i="13"/>
  <c r="Q28" i="13"/>
  <c r="O29" i="13"/>
  <c r="Q29" i="13" s="1"/>
  <c r="Q21" i="13" l="1"/>
  <c r="Q15" i="13"/>
  <c r="Q25" i="13"/>
  <c r="X23" i="13"/>
  <c r="Q23" i="13"/>
  <c r="Q17" i="13"/>
  <c r="Q16" i="13"/>
  <c r="X14" i="13"/>
  <c r="Q14" i="13"/>
  <c r="O13" i="13"/>
  <c r="Q13" i="13" s="1"/>
  <c r="Q12" i="13"/>
  <c r="Q11" i="13"/>
  <c r="Q10" i="13"/>
  <c r="Q9" i="13"/>
  <c r="Q8" i="13"/>
  <c r="Q7" i="13"/>
  <c r="Q6" i="13"/>
  <c r="O5" i="13"/>
  <c r="Q5" i="13" s="1"/>
  <c r="Q2" i="13"/>
  <c r="X4" i="13"/>
  <c r="Q4" i="13"/>
  <c r="X3" i="13"/>
  <c r="O3" i="13"/>
  <c r="Q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Bianca Silva Cordeiro</author>
  </authors>
  <commentList>
    <comment ref="AB2" authorId="0" shapeId="0" xr:uid="{1BD3BE1E-55BF-4F26-AA77-8E88B6E05DB2}">
      <text>
        <r>
          <rPr>
            <b/>
            <sz val="9"/>
            <color indexed="81"/>
            <rFont val="Tahoma"/>
            <family val="2"/>
          </rPr>
          <t>Bianca Silva Cordeiro:</t>
        </r>
        <r>
          <rPr>
            <sz val="9"/>
            <color indexed="81"/>
            <rFont val="Tahoma"/>
            <family val="2"/>
          </rPr>
          <t xml:space="preserve">
Quando temos o pickup number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Bianca Silva Cordeiro</author>
    <author>Chanelle Gagnon</author>
  </authors>
  <commentList>
    <comment ref="AE633" authorId="0" shapeId="0" xr:uid="{19827C57-4020-4F62-88A0-9E240D4CD66D}">
      <text>
        <r>
          <rPr>
            <b/>
            <sz val="9"/>
            <color indexed="81"/>
            <rFont val="Tahoma"/>
            <family val="2"/>
          </rPr>
          <t>Bianca Silva Cordeiro:</t>
        </r>
        <r>
          <rPr>
            <sz val="9"/>
            <color indexed="81"/>
            <rFont val="Tahoma"/>
            <family val="2"/>
          </rPr>
          <t xml:space="preserve">
GOODS RECEIVED ON JULY 31ST</t>
        </r>
      </text>
    </comment>
    <comment ref="N696" authorId="1" shapeId="0" xr:uid="{FE1D6AE1-5BEB-4C0A-A012-31CDDE81E27E}">
      <text>
        <r>
          <rPr>
            <b/>
            <sz val="9"/>
            <color indexed="81"/>
            <rFont val="Tahoma"/>
            <family val="2"/>
          </rPr>
          <t>Chanelle Gagnon:
At Rotterdam the Container ID will change. Get it with Freight Forwarder
At Montreal, contact again Freightforwarder to get the pickup location.</t>
        </r>
      </text>
    </comment>
    <comment ref="S696" authorId="0" shapeId="0" xr:uid="{6C56AEDE-B413-426D-8EF2-177DD9CE6CE8}">
      <text>
        <r>
          <rPr>
            <b/>
            <sz val="9"/>
            <color indexed="81"/>
            <rFont val="Tahoma"/>
            <family val="2"/>
          </rPr>
          <t>Bianca Silva Cordeiro:</t>
        </r>
        <r>
          <rPr>
            <sz val="9"/>
            <color indexed="81"/>
            <rFont val="Tahoma"/>
            <family val="2"/>
          </rPr>
          <t xml:space="preserve">
Thrutainers will share new shipping info once cargo is loaded (Sep 19)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0"/>
        </ext>
      </extLst>
    </bk>
    <bk>
      <extLst>
        <ext uri="{3e2802c4-a4d2-4d8b-9148-e3be6c30e623}">
          <xlrd:rvb i="12"/>
        </ext>
      </extLst>
    </bk>
    <bk>
      <extLst>
        <ext uri="{3e2802c4-a4d2-4d8b-9148-e3be6c30e623}">
          <xlrd:rvb i="21"/>
        </ext>
      </extLst>
    </bk>
    <bk>
      <extLst>
        <ext uri="{3e2802c4-a4d2-4d8b-9148-e3be6c30e623}">
          <xlrd:rvb i="30"/>
        </ext>
      </extLst>
    </bk>
    <bk>
      <extLst>
        <ext uri="{3e2802c4-a4d2-4d8b-9148-e3be6c30e623}">
          <xlrd:rvb i="45"/>
        </ext>
      </extLst>
    </bk>
    <bk>
      <extLst>
        <ext uri="{3e2802c4-a4d2-4d8b-9148-e3be6c30e623}">
          <xlrd:rvb i="60"/>
        </ext>
      </extLst>
    </bk>
    <bk>
      <extLst>
        <ext uri="{3e2802c4-a4d2-4d8b-9148-e3be6c30e623}">
          <xlrd:rvb i="73"/>
        </ext>
      </extLst>
    </bk>
    <bk>
      <extLst>
        <ext uri="{3e2802c4-a4d2-4d8b-9148-e3be6c30e623}">
          <xlrd:rvb i="83"/>
        </ext>
      </extLst>
    </bk>
    <bk>
      <extLst>
        <ext uri="{3e2802c4-a4d2-4d8b-9148-e3be6c30e623}">
          <xlrd:rvb i="96"/>
        </ext>
      </extLst>
    </bk>
    <bk>
      <extLst>
        <ext uri="{3e2802c4-a4d2-4d8b-9148-e3be6c30e623}">
          <xlrd:rvb i="110"/>
        </ext>
      </extLst>
    </bk>
    <bk>
      <extLst>
        <ext uri="{3e2802c4-a4d2-4d8b-9148-e3be6c30e623}">
          <xlrd:rvb i="118"/>
        </ext>
      </extLst>
    </bk>
    <bk>
      <extLst>
        <ext uri="{3e2802c4-a4d2-4d8b-9148-e3be6c30e623}">
          <xlrd:rvb i="126"/>
        </ext>
      </extLst>
    </bk>
    <bk>
      <extLst>
        <ext uri="{3e2802c4-a4d2-4d8b-9148-e3be6c30e623}">
          <xlrd:rvb i="137"/>
        </ext>
      </extLst>
    </bk>
    <bk>
      <extLst>
        <ext uri="{3e2802c4-a4d2-4d8b-9148-e3be6c30e623}">
          <xlrd:rvb i="145"/>
        </ext>
      </extLst>
    </bk>
    <bk>
      <extLst>
        <ext uri="{3e2802c4-a4d2-4d8b-9148-e3be6c30e623}">
          <xlrd:rvb i="158"/>
        </ext>
      </extLst>
    </bk>
    <bk>
      <extLst>
        <ext uri="{3e2802c4-a4d2-4d8b-9148-e3be6c30e623}">
          <xlrd:rvb i="167"/>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<sst xmlns="http://schemas.openxmlformats.org/spreadsheetml/2006/main" count="10621" uniqueCount="1644">
  <si>
    <t>Rush Arrivals Updated October 27th 2025</t>
  </si>
  <si>
    <t>SUPPLIER</t>
  </si>
  <si>
    <t>PO#</t>
  </si>
  <si>
    <t>WEIGHT / LB</t>
  </si>
  <si>
    <t>SKID</t>
  </si>
  <si>
    <t>PRODUCT</t>
  </si>
  <si>
    <t>CONTAINER ID</t>
  </si>
  <si>
    <t xml:space="preserve">SHIPPING </t>
  </si>
  <si>
    <t>INCOTERM</t>
  </si>
  <si>
    <t>CITY / STATE</t>
  </si>
  <si>
    <t>COUNTRY ORIGIN</t>
  </si>
  <si>
    <t>ORDER READY DATE</t>
  </si>
  <si>
    <t>ETD</t>
  </si>
  <si>
    <t>FREIGHT FORWARDER                 (FOB OCEAN SHIPMENT)</t>
  </si>
  <si>
    <t>CARRIER</t>
  </si>
  <si>
    <t>FREIGHT COST All-IN</t>
  </si>
  <si>
    <t>CURRENCY FREIGHT</t>
  </si>
  <si>
    <t>FREIGHT COST
$/lb 
(FOB SHIPMENT)</t>
  </si>
  <si>
    <t>ETA TRANSIT PORT</t>
  </si>
  <si>
    <t>TRANSIT PORT</t>
  </si>
  <si>
    <t xml:space="preserve"> ETA FINAL PORT</t>
  </si>
  <si>
    <t>DESTINATION</t>
  </si>
  <si>
    <t>DELIVERY DATE</t>
  </si>
  <si>
    <t>FINAL DELIVERY LOCATION</t>
  </si>
  <si>
    <t>AMOUNT</t>
  </si>
  <si>
    <t>PAYMENT TERMS</t>
  </si>
  <si>
    <t>CURRENCY</t>
  </si>
  <si>
    <t>OBL ISSUED VIA COURIER SERVICE</t>
  </si>
  <si>
    <t>STEAMSHIP RELEASED</t>
  </si>
  <si>
    <t>CUSTOMS RELEASED</t>
  </si>
  <si>
    <t>COMMENTS</t>
  </si>
  <si>
    <t>FREIGHT INVOICE</t>
  </si>
  <si>
    <t>FRUTEXSA</t>
  </si>
  <si>
    <t>40DV</t>
  </si>
  <si>
    <t>RATH40/RADO50/PRU19/PRU21</t>
  </si>
  <si>
    <t>UETU7670412</t>
  </si>
  <si>
    <t>MSC</t>
  </si>
  <si>
    <t>FOB</t>
  </si>
  <si>
    <t>CHILE</t>
  </si>
  <si>
    <t>ATLANTIC</t>
  </si>
  <si>
    <t>Y.W.D TRANSPORT</t>
  </si>
  <si>
    <t>USD</t>
  </si>
  <si>
    <t>-</t>
  </si>
  <si>
    <t>MTL PORT</t>
  </si>
  <si>
    <t>Week October 27th, 2025</t>
  </si>
  <si>
    <t>CANADA NUT</t>
  </si>
  <si>
    <t>SWIFT</t>
  </si>
  <si>
    <t>BONOIL</t>
  </si>
  <si>
    <t>40HC</t>
  </si>
  <si>
    <t xml:space="preserve">TOECSB </t>
  </si>
  <si>
    <t>MSNU5718599</t>
  </si>
  <si>
    <t>CFR</t>
  </si>
  <si>
    <t>MONTREAL</t>
  </si>
  <si>
    <t>CANADA</t>
  </si>
  <si>
    <t>SALES CONTRACT # 20/07.05.2025</t>
  </si>
  <si>
    <t>MSNU5706767</t>
  </si>
  <si>
    <t>SHENZHEN</t>
  </si>
  <si>
    <t>NUTTERIE BRANDED PP BAG</t>
  </si>
  <si>
    <t>EMCU8396791</t>
  </si>
  <si>
    <t>EVERGREEN</t>
  </si>
  <si>
    <t>DAP</t>
  </si>
  <si>
    <t>SAN FRANCISCO</t>
  </si>
  <si>
    <t>USA</t>
  </si>
  <si>
    <t>ITN</t>
  </si>
  <si>
    <t>NA</t>
  </si>
  <si>
    <t>VANCOUVER</t>
  </si>
  <si>
    <t>TO DOOR</t>
  </si>
  <si>
    <t>JB</t>
  </si>
  <si>
    <t>CAD BANK</t>
  </si>
  <si>
    <t>PRIMAFARM</t>
  </si>
  <si>
    <t>40'</t>
  </si>
  <si>
    <t>CIAAB</t>
  </si>
  <si>
    <t>SMCU1248630</t>
  </si>
  <si>
    <t>SML</t>
  </si>
  <si>
    <t>QINGDAO</t>
  </si>
  <si>
    <t>CHINA</t>
  </si>
  <si>
    <t>CN RAIL MTL</t>
  </si>
  <si>
    <t>VANAME</t>
  </si>
  <si>
    <t>COGRME25L</t>
  </si>
  <si>
    <t>30 DAYS</t>
  </si>
  <si>
    <t>CAD</t>
  </si>
  <si>
    <t>KEYSTONE5</t>
  </si>
  <si>
    <t>LIN50LZ / LIND50L3 / LINM</t>
  </si>
  <si>
    <t>CNRU238519</t>
  </si>
  <si>
    <t>CPT</t>
  </si>
  <si>
    <t>CALGARY</t>
  </si>
  <si>
    <t>DEIVERY</t>
  </si>
  <si>
    <t>PRIMAFARM / MEIHEKOU</t>
  </si>
  <si>
    <t>30301 / 31515</t>
  </si>
  <si>
    <t>CIAA / PIA25 / CIAAS / TOECBIO25K</t>
  </si>
  <si>
    <t>SMCU1306151</t>
  </si>
  <si>
    <t>Week November 3rd, 2025</t>
  </si>
  <si>
    <t>GOCMEZ / SEVEN</t>
  </si>
  <si>
    <t>31127 / 31579</t>
  </si>
  <si>
    <t>20'</t>
  </si>
  <si>
    <t>FIG2 / FIG4BIO /MUREBL / TOMA / TOMA1KR</t>
  </si>
  <si>
    <t>MSDU2951122</t>
  </si>
  <si>
    <t>IZMIR</t>
  </si>
  <si>
    <t>TURKEY</t>
  </si>
  <si>
    <t>DCS</t>
  </si>
  <si>
    <t>CALIFORNIA NUGGETS</t>
  </si>
  <si>
    <t>MAIS01 / MAIS03 / MAIS10 / MAIS11</t>
  </si>
  <si>
    <t>RIPON, CA</t>
  </si>
  <si>
    <t>MEDLOG</t>
  </si>
  <si>
    <t>GROVER</t>
  </si>
  <si>
    <t>20DV</t>
  </si>
  <si>
    <t>SESANB1</t>
  </si>
  <si>
    <t>HLBU3867788</t>
  </si>
  <si>
    <t>HAPAG</t>
  </si>
  <si>
    <t>CIF</t>
  </si>
  <si>
    <t>CALBU SPA</t>
  </si>
  <si>
    <t>GREDE22M</t>
  </si>
  <si>
    <t>CAAU7756278</t>
  </si>
  <si>
    <t>POINDEXTER</t>
  </si>
  <si>
    <t>GREMXBK</t>
  </si>
  <si>
    <t>SELMA</t>
  </si>
  <si>
    <r>
      <rPr>
        <b/>
        <sz val="18"/>
        <color rgb="FFFF0000"/>
        <rFont val="Arial"/>
        <family val="2"/>
      </rPr>
      <t>SVC</t>
    </r>
    <r>
      <rPr>
        <b/>
        <sz val="18"/>
        <rFont val="Arial"/>
        <family val="2"/>
      </rPr>
      <t xml:space="preserve"> </t>
    </r>
    <r>
      <rPr>
        <b/>
        <sz val="18"/>
        <color rgb="FF00B0F0"/>
        <rFont val="Arial"/>
        <family val="2"/>
      </rPr>
      <t>(10%)</t>
    </r>
  </si>
  <si>
    <t>CABWW320S</t>
  </si>
  <si>
    <t xml:space="preserve"> CMAU8837699</t>
  </si>
  <si>
    <t>CMA CGM</t>
  </si>
  <si>
    <t>VIETNAM</t>
  </si>
  <si>
    <t>HALIFAX</t>
  </si>
  <si>
    <t>Week November 10th, 2025</t>
  </si>
  <si>
    <t>SEKU5665960</t>
  </si>
  <si>
    <r>
      <rPr>
        <b/>
        <sz val="18"/>
        <color rgb="FFFF0000"/>
        <rFont val="Arial"/>
        <family val="2"/>
      </rPr>
      <t>BOZHOU</t>
    </r>
    <r>
      <rPr>
        <b/>
        <sz val="18"/>
        <rFont val="Arial"/>
        <family val="2"/>
      </rPr>
      <t xml:space="preserve"> (</t>
    </r>
    <r>
      <rPr>
        <b/>
        <sz val="18"/>
        <color rgb="FF00B0F0"/>
        <rFont val="Arial"/>
        <family val="2"/>
      </rPr>
      <t>30%</t>
    </r>
    <r>
      <rPr>
        <b/>
        <sz val="18"/>
        <rFont val="Arial"/>
        <family val="2"/>
      </rPr>
      <t>)</t>
    </r>
  </si>
  <si>
    <t>VEGGIE6</t>
  </si>
  <si>
    <t>CAAU8688060</t>
  </si>
  <si>
    <r>
      <rPr>
        <b/>
        <sz val="18"/>
        <color rgb="FFFF0000"/>
        <rFont val="Arial"/>
        <family val="2"/>
      </rPr>
      <t>HANIF</t>
    </r>
    <r>
      <rPr>
        <b/>
        <sz val="18"/>
        <rFont val="Arial"/>
        <family val="2"/>
      </rPr>
      <t xml:space="preserve"> </t>
    </r>
    <r>
      <rPr>
        <b/>
        <sz val="18"/>
        <color rgb="FF00B0F0"/>
        <rFont val="Arial"/>
        <family val="2"/>
      </rPr>
      <t>(50%)</t>
    </r>
  </si>
  <si>
    <t>FRONION10KW</t>
  </si>
  <si>
    <t>TCKU6627827</t>
  </si>
  <si>
    <t>MAERSK</t>
  </si>
  <si>
    <t>ICN</t>
  </si>
  <si>
    <t>CABSWP</t>
  </si>
  <si>
    <t>HLBU3853146</t>
  </si>
  <si>
    <t>CÔTE D'IVOIRE</t>
  </si>
  <si>
    <t>ARRANGED BY SHIPPER</t>
  </si>
  <si>
    <t>GOCMEZ</t>
  </si>
  <si>
    <t>31700  / 31724</t>
  </si>
  <si>
    <t>ABDE4 / FIG#2</t>
  </si>
  <si>
    <t xml:space="preserve"> TXGU7186390</t>
  </si>
  <si>
    <t>GEOBRES</t>
  </si>
  <si>
    <t>RACO12.5M</t>
  </si>
  <si>
    <t>TGBU3193640</t>
  </si>
  <si>
    <t>PIRAEUS</t>
  </si>
  <si>
    <t>GREECE</t>
  </si>
  <si>
    <t>EUR</t>
  </si>
  <si>
    <t>CIAAS</t>
  </si>
  <si>
    <t>SMCU1247932</t>
  </si>
  <si>
    <t>Week November 17th, 2025</t>
  </si>
  <si>
    <t>SEVEN</t>
  </si>
  <si>
    <t>20' RF</t>
  </si>
  <si>
    <t>TOMA10K / TOMA1KR</t>
  </si>
  <si>
    <t>HLBU9188980</t>
  </si>
  <si>
    <t>DESDELSUR</t>
  </si>
  <si>
    <t>CHIAN25K</t>
  </si>
  <si>
    <t>MEDU5413653</t>
  </si>
  <si>
    <t>ARGENTINA</t>
  </si>
  <si>
    <t>Week November 24th, 2025</t>
  </si>
  <si>
    <t>MSBU5319122</t>
  </si>
  <si>
    <t xml:space="preserve"> CABLWP / CABWW320A</t>
  </si>
  <si>
    <t>HLBU3783882</t>
  </si>
  <si>
    <t>SILVERMILL</t>
  </si>
  <si>
    <t>COME25L</t>
  </si>
  <si>
    <t>MSMU6301939</t>
  </si>
  <si>
    <t xml:space="preserve">FOB </t>
  </si>
  <si>
    <t>SURABAYA</t>
  </si>
  <si>
    <t>INDONESIA</t>
  </si>
  <si>
    <t>CN/CP RAIL MTL</t>
  </si>
  <si>
    <t>AHT FOODS</t>
  </si>
  <si>
    <t>DAGAQA / DAPR</t>
  </si>
  <si>
    <t>CAIU6616844</t>
  </si>
  <si>
    <t>IRAN</t>
  </si>
  <si>
    <t>TIIU5071573</t>
  </si>
  <si>
    <t>MSMU5976563</t>
  </si>
  <si>
    <t>Week December 1st, 2025</t>
  </si>
  <si>
    <t>LONTRUE</t>
  </si>
  <si>
    <t>RASU21</t>
  </si>
  <si>
    <t>ATSU8373590</t>
  </si>
  <si>
    <t>CP RAIL MTL</t>
  </si>
  <si>
    <t>UNITY</t>
  </si>
  <si>
    <t>GICR / MANGO5X7 / MATR</t>
  </si>
  <si>
    <t>MSMU1136976</t>
  </si>
  <si>
    <t>BANGKOK</t>
  </si>
  <si>
    <t>THAILAND</t>
  </si>
  <si>
    <t>KUEHNE &amp; NAGEL</t>
  </si>
  <si>
    <r>
      <rPr>
        <b/>
        <sz val="18"/>
        <color rgb="FFFF0000"/>
        <rFont val="Arial"/>
        <family val="2"/>
      </rPr>
      <t>SUNRISE INS</t>
    </r>
    <r>
      <rPr>
        <b/>
        <sz val="18"/>
        <rFont val="Arial"/>
        <family val="2"/>
      </rPr>
      <t xml:space="preserve"> (</t>
    </r>
    <r>
      <rPr>
        <b/>
        <sz val="18"/>
        <color rgb="FF00B0F0"/>
        <rFont val="Arial"/>
        <family val="2"/>
      </rPr>
      <t>30%</t>
    </r>
    <r>
      <rPr>
        <b/>
        <sz val="18"/>
        <rFont val="Arial"/>
        <family val="2"/>
      </rPr>
      <t>)</t>
    </r>
  </si>
  <si>
    <t>RIJAS1000KG</t>
  </si>
  <si>
    <t>MSNU5412649</t>
  </si>
  <si>
    <t>TRLU8178275</t>
  </si>
  <si>
    <t xml:space="preserve">QINGDAO </t>
  </si>
  <si>
    <t>ARACHIDEF11A (24/28)</t>
  </si>
  <si>
    <t>CMAU5847800</t>
  </si>
  <si>
    <t>Week December 8th, 2025</t>
  </si>
  <si>
    <r>
      <t>QINGDAO (</t>
    </r>
    <r>
      <rPr>
        <b/>
        <sz val="18"/>
        <color rgb="FF00B0F0"/>
        <rFont val="Arial"/>
        <family val="2"/>
      </rPr>
      <t>20%</t>
    </r>
    <r>
      <rPr>
        <b/>
        <sz val="18"/>
        <rFont val="Arial"/>
        <family val="2"/>
      </rPr>
      <t>)</t>
    </r>
  </si>
  <si>
    <t>ARARJAP</t>
  </si>
  <si>
    <t>CMAU6706827</t>
  </si>
  <si>
    <t>LIENVIET</t>
  </si>
  <si>
    <t>CABCW320V</t>
  </si>
  <si>
    <t>MSMU2151872</t>
  </si>
  <si>
    <t>KUEHNE NAGEL</t>
  </si>
  <si>
    <t>ATLANTIX</t>
  </si>
  <si>
    <t>CABWW240S</t>
  </si>
  <si>
    <t>BMOU6181700</t>
  </si>
  <si>
    <t>AGRONART</t>
  </si>
  <si>
    <t>MIDC</t>
  </si>
  <si>
    <t>CMAU3394480</t>
  </si>
  <si>
    <t>UKRAINE</t>
  </si>
  <si>
    <t>DONGTAI</t>
  </si>
  <si>
    <t>TOEEXL2</t>
  </si>
  <si>
    <t>TCKU7036623</t>
  </si>
  <si>
    <t>NUTRIFRESH</t>
  </si>
  <si>
    <t>RIBAS1000KG</t>
  </si>
  <si>
    <t>MSBU6897151</t>
  </si>
  <si>
    <t>LAVAL</t>
  </si>
  <si>
    <t>Week December 17th, 2025</t>
  </si>
  <si>
    <t>30 days</t>
  </si>
  <si>
    <t>MSBU6978340</t>
  </si>
  <si>
    <t>OCEAN</t>
  </si>
  <si>
    <t>DIRECT SALE</t>
  </si>
  <si>
    <t>OTR / INTERMODAL</t>
  </si>
  <si>
    <t>SHARED INVOICE</t>
  </si>
  <si>
    <t xml:space="preserve">DEPOSIT IN ADVANCE % </t>
  </si>
  <si>
    <t>%</t>
  </si>
  <si>
    <t>CODE</t>
  </si>
  <si>
    <t>USD $</t>
  </si>
  <si>
    <t>ETA MONTREAL</t>
  </si>
  <si>
    <t>LONG GIA</t>
  </si>
  <si>
    <t>CABWW320</t>
  </si>
  <si>
    <t>ARACHIDEF11A</t>
  </si>
  <si>
    <t>ARARJAP21</t>
  </si>
  <si>
    <t>ARACHIDE</t>
  </si>
  <si>
    <t>SUNRISE INS</t>
  </si>
  <si>
    <t>RIJAS100KG</t>
  </si>
  <si>
    <t>Total USD</t>
  </si>
  <si>
    <t>WEIGHT 
/
 LB</t>
  </si>
  <si>
    <t>COST FREIGHT   $ / lb (FOB SHIPMENT)</t>
  </si>
  <si>
    <t>ETA FINAL PORT</t>
  </si>
  <si>
    <t>OCEAN IMPORT RELEASE METHOD</t>
  </si>
  <si>
    <t>(FOB SHIPMENT)             OBL SHIPPED TO FREIGHT FORWARDER VIA COURIER SERVICE</t>
  </si>
  <si>
    <t>STEAMSHIP RELEASED DATE</t>
  </si>
  <si>
    <t>CUSTOMS RELEASED DATE</t>
  </si>
  <si>
    <t>JUNANMAX</t>
  </si>
  <si>
    <t>AREERS10K / AREERSS10K</t>
  </si>
  <si>
    <t>ARRENGED BY SHIPPER</t>
  </si>
  <si>
    <t>GILANO</t>
  </si>
  <si>
    <t>DAGAQGIL</t>
  </si>
  <si>
    <t>KARACHI</t>
  </si>
  <si>
    <t>PAKISTAN</t>
  </si>
  <si>
    <t>SESAJAL</t>
  </si>
  <si>
    <t>FTL</t>
  </si>
  <si>
    <t>ARATOBIO</t>
  </si>
  <si>
    <t>BLUE DIAMOND</t>
  </si>
  <si>
    <t>AMBA / AMEN / AMND22BD / AMNT / AMTR</t>
  </si>
  <si>
    <t>TURLOCK</t>
  </si>
  <si>
    <t>THFOOD</t>
  </si>
  <si>
    <t>GRIML12 / GRIML32 / GRIS40 / GRISNC</t>
  </si>
  <si>
    <t>MACHESNEY PARK</t>
  </si>
  <si>
    <t>OZGUR</t>
  </si>
  <si>
    <t>RASU10</t>
  </si>
  <si>
    <t>FRUIT D'OR</t>
  </si>
  <si>
    <t>CANFOR</t>
  </si>
  <si>
    <t>PLESSISVILLE QC</t>
  </si>
  <si>
    <t>SALES CONTRACT # 00017178</t>
  </si>
  <si>
    <t>CQC</t>
  </si>
  <si>
    <t>LTL</t>
  </si>
  <si>
    <t>CHO100 (DARK CHOCO)</t>
  </si>
  <si>
    <t>WISCONSIN</t>
  </si>
  <si>
    <t>PARAMOUNT</t>
  </si>
  <si>
    <t>PIRSG</t>
  </si>
  <si>
    <t>LOST HILL</t>
  </si>
  <si>
    <t>MILLERS</t>
  </si>
  <si>
    <t>AVFL5SG</t>
  </si>
  <si>
    <t>YORKTON</t>
  </si>
  <si>
    <t>CANFOD</t>
  </si>
  <si>
    <t>VALLEY</t>
  </si>
  <si>
    <t>AMBUPASSR27A</t>
  </si>
  <si>
    <t>MODESTO CA</t>
  </si>
  <si>
    <t>???</t>
  </si>
  <si>
    <t>PROMPT</t>
  </si>
  <si>
    <t>BLUE CROWN</t>
  </si>
  <si>
    <t>CABWW180BC</t>
  </si>
  <si>
    <t>HCMC</t>
  </si>
  <si>
    <r>
      <t xml:space="preserve">GPR </t>
    </r>
    <r>
      <rPr>
        <b/>
        <sz val="18"/>
        <color rgb="FF00B0F0"/>
        <rFont val="Arial"/>
        <family val="2"/>
      </rPr>
      <t>(30%</t>
    </r>
    <r>
      <rPr>
        <b/>
        <sz val="18"/>
        <rFont val="Arial"/>
        <family val="2"/>
      </rPr>
      <t>)</t>
    </r>
  </si>
  <si>
    <t>AVEC55L</t>
  </si>
  <si>
    <t>KHOBI</t>
  </si>
  <si>
    <t>GEORGIA</t>
  </si>
  <si>
    <t>SESA50L1</t>
  </si>
  <si>
    <t>BERKIZ</t>
  </si>
  <si>
    <t>MAIS02 / MAIS05 / POISCH</t>
  </si>
  <si>
    <t>SEMILLAS</t>
  </si>
  <si>
    <t>SESAMO</t>
  </si>
  <si>
    <t>PUERTO QUETZAL</t>
  </si>
  <si>
    <t>GUATEMALA</t>
  </si>
  <si>
    <t>ARACHIDEF11JU</t>
  </si>
  <si>
    <t>DONGTAI / MEIHEKOU</t>
  </si>
  <si>
    <t>32118 / 32172 / 32207</t>
  </si>
  <si>
    <t>TOECBIO25KDO / CIAA / PIA25KSP / PORO10</t>
  </si>
  <si>
    <t>FUTURE CONTRACTS BELOW THIS LINE:</t>
  </si>
  <si>
    <t>BARRY</t>
  </si>
  <si>
    <t>CHO105</t>
  </si>
  <si>
    <t>SAINT-HYACINTHE</t>
  </si>
  <si>
    <t>QC</t>
  </si>
  <si>
    <t>YEAR 2025 - BUYERS CALL</t>
  </si>
  <si>
    <t>CHO95</t>
  </si>
  <si>
    <t>Mid December 2025</t>
  </si>
  <si>
    <t>Mid January 2026</t>
  </si>
  <si>
    <t>Mid February 2026</t>
  </si>
  <si>
    <t>Mid March 2026</t>
  </si>
  <si>
    <t>CHO92 (MILK CHOCO)</t>
  </si>
  <si>
    <t>END JANUARY 2026</t>
  </si>
  <si>
    <t>November</t>
  </si>
  <si>
    <t>December</t>
  </si>
  <si>
    <t>BUYERS CALL</t>
  </si>
  <si>
    <t>GOLDEN PEANUT</t>
  </si>
  <si>
    <t>ARBCR2200</t>
  </si>
  <si>
    <t>FCA</t>
  </si>
  <si>
    <t>Jan 2025 - June 2025</t>
  </si>
  <si>
    <t>SALES CONTRACT # 04486</t>
  </si>
  <si>
    <t>AREDJUMUS</t>
  </si>
  <si>
    <t>ABIDJAN</t>
  </si>
  <si>
    <t>MARIANI</t>
  </si>
  <si>
    <t>CANMAR</t>
  </si>
  <si>
    <t>On buyers call till Oct 2025</t>
  </si>
  <si>
    <t>OCT / MARCH 2026</t>
  </si>
  <si>
    <t>GRELSP</t>
  </si>
  <si>
    <t>XOLFOOD</t>
  </si>
  <si>
    <t>MALTCENTX</t>
  </si>
  <si>
    <t>NANCHANG</t>
  </si>
  <si>
    <t>CN / CP RAIL MTL</t>
  </si>
  <si>
    <t>COD</t>
  </si>
  <si>
    <t>FREIGHT COST          $ / lb                       (FOB SHIPMENT)</t>
  </si>
  <si>
    <t>CUSTOM RELEASED</t>
  </si>
  <si>
    <t>CANDYBEC ITEM #9210 (CHO92)</t>
  </si>
  <si>
    <t>PEERLESS</t>
  </si>
  <si>
    <t>DESLAURIERS</t>
  </si>
  <si>
    <r>
      <t xml:space="preserve">BLACUTT </t>
    </r>
    <r>
      <rPr>
        <b/>
        <sz val="14"/>
        <color rgb="FF00B0F0"/>
        <rFont val="Arial"/>
        <family val="2"/>
      </rPr>
      <t>(20%)</t>
    </r>
  </si>
  <si>
    <t>BRMD</t>
  </si>
  <si>
    <t>TEMU0115788</t>
  </si>
  <si>
    <t>ARICA</t>
  </si>
  <si>
    <t>Arranged by shipper</t>
  </si>
  <si>
    <t>NEW JERSEY</t>
  </si>
  <si>
    <t>TELEX R.</t>
  </si>
  <si>
    <r>
      <rPr>
        <b/>
        <sz val="14"/>
        <color rgb="FFFF0000"/>
        <rFont val="Arial"/>
        <family val="2"/>
      </rPr>
      <t>COMEXTRA</t>
    </r>
    <r>
      <rPr>
        <b/>
        <sz val="14"/>
        <color theme="1"/>
        <rFont val="Arial"/>
        <family val="2"/>
      </rPr>
      <t xml:space="preserve"> </t>
    </r>
    <r>
      <rPr>
        <b/>
        <sz val="14"/>
        <color rgb="FF00B0F0"/>
        <rFont val="Arial"/>
        <family val="2"/>
      </rPr>
      <t>(20%)</t>
    </r>
  </si>
  <si>
    <t>CABSW320IN</t>
  </si>
  <si>
    <t>TCLU3445908</t>
  </si>
  <si>
    <t>ONE</t>
  </si>
  <si>
    <t>CNF</t>
  </si>
  <si>
    <t xml:space="preserve">INDONESIA </t>
  </si>
  <si>
    <t>SESAMO1</t>
  </si>
  <si>
    <t>CAAU2099020</t>
  </si>
  <si>
    <t>PUERTO BARRIOS</t>
  </si>
  <si>
    <t>ANAKENA</t>
  </si>
  <si>
    <t>GRDM20%</t>
  </si>
  <si>
    <t>TCNU3270073</t>
  </si>
  <si>
    <t>NEW JERSEY+Q:X</t>
  </si>
  <si>
    <t>PIRSG#1 / PIRNS</t>
  </si>
  <si>
    <t>LOST HILLS CA</t>
  </si>
  <si>
    <t>FUZE</t>
  </si>
  <si>
    <t>BAKEMARK</t>
  </si>
  <si>
    <t>AMNPX#120</t>
  </si>
  <si>
    <t>RASU12A</t>
  </si>
  <si>
    <t>DFSU2778767</t>
  </si>
  <si>
    <t xml:space="preserve">VALLEY HARVEST </t>
  </si>
  <si>
    <t>AMBUPASSR36 / AMNPS16 / AMNPS18</t>
  </si>
  <si>
    <t>DALIAN</t>
  </si>
  <si>
    <t>CIAA2/CIAADAL/CIEE13/GOJI/GOJIB</t>
  </si>
  <si>
    <t>CICU2619500</t>
  </si>
  <si>
    <t>PRIMA FARM</t>
  </si>
  <si>
    <t>ZCSU6730583</t>
  </si>
  <si>
    <t>ZIM</t>
  </si>
  <si>
    <t xml:space="preserve">FIGDE-G / ABDE2 </t>
  </si>
  <si>
    <t>MSMU2628800</t>
  </si>
  <si>
    <t>Atlantic Forwarding</t>
  </si>
  <si>
    <r>
      <rPr>
        <b/>
        <sz val="14"/>
        <color rgb="FFFF0000"/>
        <rFont val="Arial"/>
        <family val="2"/>
      </rPr>
      <t xml:space="preserve">GPR NUTS </t>
    </r>
    <r>
      <rPr>
        <b/>
        <sz val="14"/>
        <color rgb="FF00B0F0"/>
        <rFont val="Arial"/>
        <family val="2"/>
      </rPr>
      <t>(40%)</t>
    </r>
  </si>
  <si>
    <t>AVEC25K / AVEC55LB</t>
  </si>
  <si>
    <t>MRSU6556312</t>
  </si>
  <si>
    <t>NORTHSIDE</t>
  </si>
  <si>
    <t>AMNMN</t>
  </si>
  <si>
    <t>N/A</t>
  </si>
  <si>
    <t>MERIDIAN NUT GROWERS</t>
  </si>
  <si>
    <t>PIDM#1</t>
  </si>
  <si>
    <t>HUGHSON CAL</t>
  </si>
  <si>
    <t>KINGLAND</t>
  </si>
  <si>
    <t>RAVE10</t>
  </si>
  <si>
    <t>TCNU5643387</t>
  </si>
  <si>
    <t>HERITAGE BOL#76644</t>
  </si>
  <si>
    <t xml:space="preserve">CIAAB / CIEE13 </t>
  </si>
  <si>
    <t>FCIU8912801</t>
  </si>
  <si>
    <t xml:space="preserve">JILIN SHENGYUAN </t>
  </si>
  <si>
    <t>PIA25B</t>
  </si>
  <si>
    <t>DONGTAI QINGDAO</t>
  </si>
  <si>
    <t>ARBRCR25KA</t>
  </si>
  <si>
    <t>BARRY CALLEBAUT</t>
  </si>
  <si>
    <t>CHO91 / CHO95</t>
  </si>
  <si>
    <t>ST-HYACINTHE QC</t>
  </si>
  <si>
    <t>1/15</t>
  </si>
  <si>
    <r>
      <t>AYNIRA</t>
    </r>
    <r>
      <rPr>
        <b/>
        <sz val="14"/>
        <color rgb="FF00B0F0"/>
        <rFont val="Arial"/>
        <family val="2"/>
      </rPr>
      <t xml:space="preserve"> (20%)</t>
    </r>
  </si>
  <si>
    <t>TOEEXL</t>
  </si>
  <si>
    <t>HLBU2066552</t>
  </si>
  <si>
    <t>PRAIRIE PREMIUM</t>
  </si>
  <si>
    <t>LIN50L2 / LIND50L2 / LINM</t>
  </si>
  <si>
    <t>AMNT / AMBD128 / AMEN / AMTR</t>
  </si>
  <si>
    <t>TURLOCK CA</t>
  </si>
  <si>
    <t xml:space="preserve">TITANIUM </t>
  </si>
  <si>
    <t>7/10</t>
  </si>
  <si>
    <t>MAIS01</t>
  </si>
  <si>
    <t>RIPON CA</t>
  </si>
  <si>
    <t>MAIS03</t>
  </si>
  <si>
    <t>AMNPS16 / AMNPS18</t>
  </si>
  <si>
    <t>CELEBES</t>
  </si>
  <si>
    <t>COME25CEL</t>
  </si>
  <si>
    <t>MSMU8069798</t>
  </si>
  <si>
    <t>DAVAO</t>
  </si>
  <si>
    <t>PHILIPPINES</t>
  </si>
  <si>
    <t>DSV</t>
  </si>
  <si>
    <t>CAPE DRIED FRUIT</t>
  </si>
  <si>
    <t>POSE / PESE</t>
  </si>
  <si>
    <t>OOCU7041722</t>
  </si>
  <si>
    <t>OOCL</t>
  </si>
  <si>
    <t>CAPE TOWN</t>
  </si>
  <si>
    <t>SOUTH AFRICA</t>
  </si>
  <si>
    <t>AMMFXFBD</t>
  </si>
  <si>
    <t>8/10</t>
  </si>
  <si>
    <t>YORKON SK</t>
  </si>
  <si>
    <t>AHT</t>
  </si>
  <si>
    <t>DAPR</t>
  </si>
  <si>
    <t>RFCU2278418</t>
  </si>
  <si>
    <t>G &amp; K SALES</t>
  </si>
  <si>
    <t>PIEC30</t>
  </si>
  <si>
    <t>2/15</t>
  </si>
  <si>
    <t>GLDU7354429</t>
  </si>
  <si>
    <t>ARBCR1115 / ARBCR2200</t>
  </si>
  <si>
    <t>AMMOSUP27</t>
  </si>
  <si>
    <t>HGIU526666</t>
  </si>
  <si>
    <t>HUBGROUP</t>
  </si>
  <si>
    <t xml:space="preserve">TH FOODS </t>
  </si>
  <si>
    <t>GRIML12 / GRIML32 / GRIS40</t>
  </si>
  <si>
    <t>MACHESNAY PARK IL</t>
  </si>
  <si>
    <t xml:space="preserve">PATTERSON </t>
  </si>
  <si>
    <t>GREDMPAT</t>
  </si>
  <si>
    <t>PATTERSON CA</t>
  </si>
  <si>
    <t>TITANIUM</t>
  </si>
  <si>
    <t>GRDM40%</t>
  </si>
  <si>
    <t>BMOU4292140</t>
  </si>
  <si>
    <t>PIRS20</t>
  </si>
  <si>
    <t>LOST HILL CA</t>
  </si>
  <si>
    <t>SAMI FRUITS #77531</t>
  </si>
  <si>
    <t>PACIFIC NUT</t>
  </si>
  <si>
    <t>PRU19 (30/40) PRU18 (60/70) PRU12 (50/60)</t>
  </si>
  <si>
    <t>FANU3116860</t>
  </si>
  <si>
    <t>JOHNVINCE</t>
  </si>
  <si>
    <t>AMCMS25</t>
  </si>
  <si>
    <t>NORTH YORK</t>
  </si>
  <si>
    <r>
      <t xml:space="preserve">QINGDAO </t>
    </r>
    <r>
      <rPr>
        <b/>
        <sz val="14"/>
        <color rgb="FF00B0F0"/>
        <rFont val="Arial"/>
        <family val="2"/>
      </rPr>
      <t>(20%)</t>
    </r>
  </si>
  <si>
    <t>ARARJAP21 (21/23)</t>
  </si>
  <si>
    <t>TGHU6328632</t>
  </si>
  <si>
    <t>TXGU7173937</t>
  </si>
  <si>
    <t>AMMOSUP18</t>
  </si>
  <si>
    <t xml:space="preserve">FUZE </t>
  </si>
  <si>
    <t>WISHBONE</t>
  </si>
  <si>
    <t>CHIAN25KW</t>
  </si>
  <si>
    <t>CAAU2114172</t>
  </si>
  <si>
    <t>BUENOS AIRES</t>
  </si>
  <si>
    <t>OILSEED</t>
  </si>
  <si>
    <t>PAVO1</t>
  </si>
  <si>
    <t>SEGU4628817</t>
  </si>
  <si>
    <t>PARAGUAY</t>
  </si>
  <si>
    <t>PACIFIC</t>
  </si>
  <si>
    <t xml:space="preserve">PRU12/14/19/21/22 </t>
  </si>
  <si>
    <t>MSDU1572891</t>
  </si>
  <si>
    <t>RAJKAMAL</t>
  </si>
  <si>
    <t>SESA50L</t>
  </si>
  <si>
    <t>FANU1049188</t>
  </si>
  <si>
    <t>INDIA</t>
  </si>
  <si>
    <t>CHIABN</t>
  </si>
  <si>
    <t>MSMU3468970</t>
  </si>
  <si>
    <t xml:space="preserve">BONOIL </t>
  </si>
  <si>
    <t>TOECSB</t>
  </si>
  <si>
    <t>FANU1724060</t>
  </si>
  <si>
    <t>BULGARIA</t>
  </si>
  <si>
    <t>FANU1538996</t>
  </si>
  <si>
    <t>AMTR / AMEN / AMNT / AMBA</t>
  </si>
  <si>
    <t>9/10</t>
  </si>
  <si>
    <t>IVORY CASHEW NUT</t>
  </si>
  <si>
    <t>CABLWPB</t>
  </si>
  <si>
    <t>CMAU3746174</t>
  </si>
  <si>
    <t>IVORY COAST</t>
  </si>
  <si>
    <t>K+Nagel</t>
  </si>
  <si>
    <t>SESA50L / SESANAT</t>
  </si>
  <si>
    <t>MSMU8902796</t>
  </si>
  <si>
    <t>BEATRICE</t>
  </si>
  <si>
    <t>ARCRED50</t>
  </si>
  <si>
    <t>BEAU4662337</t>
  </si>
  <si>
    <t>BRAZIL</t>
  </si>
  <si>
    <t>ST-JOHN</t>
  </si>
  <si>
    <t xml:space="preserve">ARACHIDE (20/24) </t>
  </si>
  <si>
    <t>TCLU6585251</t>
  </si>
  <si>
    <t>PIRSG#1A</t>
  </si>
  <si>
    <t>HGIU641424</t>
  </si>
  <si>
    <t>TURLOCK CAL</t>
  </si>
  <si>
    <t>SALES CONTRACT 40015403</t>
  </si>
  <si>
    <r>
      <rPr>
        <b/>
        <sz val="14"/>
        <color rgb="FFFF0000"/>
        <rFont val="Arial"/>
        <family val="2"/>
      </rPr>
      <t>SUNRISE FOODS</t>
    </r>
    <r>
      <rPr>
        <b/>
        <sz val="14"/>
        <color theme="1"/>
        <rFont val="Arial"/>
        <family val="2"/>
      </rPr>
      <t xml:space="preserve"> </t>
    </r>
    <r>
      <rPr>
        <b/>
        <sz val="14"/>
        <color rgb="FF00B0F0"/>
        <rFont val="Arial"/>
        <family val="2"/>
      </rPr>
      <t>(20%)</t>
    </r>
  </si>
  <si>
    <t>MEDU3486516</t>
  </si>
  <si>
    <t>LODICO</t>
  </si>
  <si>
    <t>TGCU5243342</t>
  </si>
  <si>
    <t>FCIU2213617</t>
  </si>
  <si>
    <t xml:space="preserve">CELEBES </t>
  </si>
  <si>
    <t>TGBU4419942</t>
  </si>
  <si>
    <t>FIG#2</t>
  </si>
  <si>
    <t>MSDU2143551</t>
  </si>
  <si>
    <t>SAMI FRUITS #76494</t>
  </si>
  <si>
    <t xml:space="preserve">OZGUR </t>
  </si>
  <si>
    <t>RASU11</t>
  </si>
  <si>
    <t>MSMU2946014</t>
  </si>
  <si>
    <t>THIN ADD. #77384</t>
  </si>
  <si>
    <t>RANCHO</t>
  </si>
  <si>
    <t>PADESRANCHO / PAML</t>
  </si>
  <si>
    <t>EL PASO TX</t>
  </si>
  <si>
    <t>1/2</t>
  </si>
  <si>
    <t>CANFORLM</t>
  </si>
  <si>
    <t>HLBU2930335</t>
  </si>
  <si>
    <t>Arranged by shippeer</t>
  </si>
  <si>
    <t>COMA25LCEL</t>
  </si>
  <si>
    <t>MSDU8492566</t>
  </si>
  <si>
    <t>SEVEN FOODS</t>
  </si>
  <si>
    <t>TOMA1KR</t>
  </si>
  <si>
    <t>TGHU4851177</t>
  </si>
  <si>
    <t>ABDE4 / ABDSS28L / FIG#2 / ABD</t>
  </si>
  <si>
    <t>AMTX / AMEN/ AMNT</t>
  </si>
  <si>
    <t>PRAIRIE</t>
  </si>
  <si>
    <t>LIND50L2 / LINM2</t>
  </si>
  <si>
    <t>KLEU68022</t>
  </si>
  <si>
    <t>VALLEY HARVEST</t>
  </si>
  <si>
    <t>AMNMVH</t>
  </si>
  <si>
    <t>AMNPS20BD</t>
  </si>
  <si>
    <t>SALES CONTRACT 40015033</t>
  </si>
  <si>
    <t>COMPASS FOODS</t>
  </si>
  <si>
    <t xml:space="preserve">DAPK </t>
  </si>
  <si>
    <t>AURORA</t>
  </si>
  <si>
    <t>FLORIDA</t>
  </si>
  <si>
    <t>HIALEAH #78543</t>
  </si>
  <si>
    <t>CTQU2026413</t>
  </si>
  <si>
    <t>3/15</t>
  </si>
  <si>
    <r>
      <rPr>
        <b/>
        <sz val="14"/>
        <color rgb="FFFF0000"/>
        <rFont val="Arial"/>
        <family val="2"/>
      </rPr>
      <t>SADYAR</t>
    </r>
    <r>
      <rPr>
        <b/>
        <sz val="14"/>
        <color rgb="FF00B0F0"/>
        <rFont val="Arial"/>
        <family val="2"/>
      </rPr>
      <t xml:space="preserve"> (20%)</t>
    </r>
  </si>
  <si>
    <t>PIECIR / PIEKA25 (20/22) / PIEK25MTL (28/30)</t>
  </si>
  <si>
    <t>UETU5247823</t>
  </si>
  <si>
    <t>ZEGHERS</t>
  </si>
  <si>
    <t>LIN50LZ</t>
  </si>
  <si>
    <t>CPPU236020</t>
  </si>
  <si>
    <t>MAHDAVIEH</t>
  </si>
  <si>
    <t>DAB</t>
  </si>
  <si>
    <t>BMOU2844996</t>
  </si>
  <si>
    <t>ARACHIDEF11JU (24/28)</t>
  </si>
  <si>
    <t>TDSU8034126</t>
  </si>
  <si>
    <t>MSMU2726160</t>
  </si>
  <si>
    <t>G&amp;K SALES</t>
  </si>
  <si>
    <t>CHO93 / CHO94</t>
  </si>
  <si>
    <r>
      <rPr>
        <b/>
        <sz val="14"/>
        <color rgb="FFFF0000"/>
        <rFont val="Arial"/>
        <family val="2"/>
      </rPr>
      <t>SVC</t>
    </r>
    <r>
      <rPr>
        <b/>
        <sz val="14"/>
        <color theme="1"/>
        <rFont val="Arial"/>
        <family val="2"/>
      </rPr>
      <t xml:space="preserve"> </t>
    </r>
    <r>
      <rPr>
        <b/>
        <sz val="14"/>
        <color rgb="FF00B0F0"/>
        <rFont val="Arial"/>
        <family val="2"/>
      </rPr>
      <t>(10%)</t>
    </r>
  </si>
  <si>
    <t>CABSW320</t>
  </si>
  <si>
    <t>KKTU7723508</t>
  </si>
  <si>
    <t>TH FOODS</t>
  </si>
  <si>
    <t>GRIML12/32/GRIS40/GRISRM</t>
  </si>
  <si>
    <t>Week March 11th 2024</t>
  </si>
  <si>
    <t>RADO51</t>
  </si>
  <si>
    <t>FBIU0447147</t>
  </si>
  <si>
    <t>SABIR</t>
  </si>
  <si>
    <t>AVBL / AVBL12.5K / AVEC55L</t>
  </si>
  <si>
    <t>CRSU1256800</t>
  </si>
  <si>
    <t>LYGU0116159</t>
  </si>
  <si>
    <t>Week March 18th 2024</t>
  </si>
  <si>
    <t>ING.PLUS #71651</t>
  </si>
  <si>
    <t>LFD - 03/20</t>
  </si>
  <si>
    <t>MAIS02</t>
  </si>
  <si>
    <t>TXGU6989844</t>
  </si>
  <si>
    <t>TOMA1KR / TOMA</t>
  </si>
  <si>
    <t>FIGDE-G</t>
  </si>
  <si>
    <t>ENKO</t>
  </si>
  <si>
    <t>PIA10K</t>
  </si>
  <si>
    <r>
      <rPr>
        <b/>
        <sz val="14"/>
        <color rgb="FFFF0000"/>
        <rFont val="Arial"/>
        <family val="2"/>
      </rPr>
      <t xml:space="preserve">AYNIRA </t>
    </r>
    <r>
      <rPr>
        <b/>
        <sz val="14"/>
        <color rgb="FF00B0F0"/>
        <rFont val="Arial"/>
        <family val="2"/>
      </rPr>
      <t>(50%)</t>
    </r>
  </si>
  <si>
    <t>TOEEXL/CIEE25B/POCH/R10K</t>
  </si>
  <si>
    <t>MSDU2170937</t>
  </si>
  <si>
    <t>MRSU0566191</t>
  </si>
  <si>
    <t>LAMONTAGNE</t>
  </si>
  <si>
    <t>ABDE0 / ABDE2 / ABDE6 / FIGDE-G</t>
  </si>
  <si>
    <t>MSDU5469686</t>
  </si>
  <si>
    <t>CIAASPRI / CIAAB</t>
  </si>
  <si>
    <t>TCNU1389741</t>
  </si>
  <si>
    <t>YANGMING</t>
  </si>
  <si>
    <t>FUZE LOG.</t>
  </si>
  <si>
    <t>4/15</t>
  </si>
  <si>
    <t>SESA50L2 / SESANB1</t>
  </si>
  <si>
    <t>FFAU4051009</t>
  </si>
  <si>
    <t xml:space="preserve">CFR </t>
  </si>
  <si>
    <t>Week April 8th 2024</t>
  </si>
  <si>
    <t xml:space="preserve">ORCHID </t>
  </si>
  <si>
    <t>SESA50L3 / SESANB</t>
  </si>
  <si>
    <t>TLLU8726980</t>
  </si>
  <si>
    <t xml:space="preserve">POINDEXTER </t>
  </si>
  <si>
    <t>GREDMCPO / GRELSP / GRETCN</t>
  </si>
  <si>
    <t>CXDU2477190</t>
  </si>
  <si>
    <t>RUDOLPH #78035</t>
  </si>
  <si>
    <t>TWCU2041850</t>
  </si>
  <si>
    <t>SM LINE</t>
  </si>
  <si>
    <t>AMBA/AMBD128/AMEN/AMND22BD/AMTR</t>
  </si>
  <si>
    <t>SALES CONTRACT 40015034 10/10</t>
  </si>
  <si>
    <t>AMNPX20</t>
  </si>
  <si>
    <t>SALES CONTRACT 40015909</t>
  </si>
  <si>
    <r>
      <rPr>
        <b/>
        <sz val="14"/>
        <color rgb="FFFF0000"/>
        <rFont val="Arial"/>
        <family val="2"/>
      </rPr>
      <t xml:space="preserve">KIM HY </t>
    </r>
    <r>
      <rPr>
        <b/>
        <sz val="14"/>
        <color rgb="FF00B0F0"/>
        <rFont val="Arial"/>
        <family val="2"/>
      </rPr>
      <t>(10%)</t>
    </r>
  </si>
  <si>
    <t>CABWW320KIM</t>
  </si>
  <si>
    <t>UESU5195449</t>
  </si>
  <si>
    <t>COSUFI25L / COGRME25L</t>
  </si>
  <si>
    <r>
      <rPr>
        <b/>
        <sz val="14"/>
        <color rgb="FFFF0000"/>
        <rFont val="Arial"/>
        <family val="2"/>
      </rPr>
      <t xml:space="preserve">SON PHUONG </t>
    </r>
    <r>
      <rPr>
        <b/>
        <sz val="14"/>
        <color rgb="FF00B0F0"/>
        <rFont val="Arial"/>
        <family val="2"/>
      </rPr>
      <t>(10%)</t>
    </r>
  </si>
  <si>
    <t>CABSW320S</t>
  </si>
  <si>
    <t>GVCU5321063</t>
  </si>
  <si>
    <t>CHOCOLAT LAMONTAGNE</t>
  </si>
  <si>
    <t>NATURAL FOODS</t>
  </si>
  <si>
    <t>RATH53</t>
  </si>
  <si>
    <t>CMAU2460946</t>
  </si>
  <si>
    <t>SAINT-JOHN, NB</t>
  </si>
  <si>
    <t>CMAU2577932</t>
  </si>
  <si>
    <t>CIAA / CIEE13 / PORO10</t>
  </si>
  <si>
    <t>TCNU4402370</t>
  </si>
  <si>
    <t>JILINSHEN</t>
  </si>
  <si>
    <t>SHARMEEN</t>
  </si>
  <si>
    <t>UACU4165048</t>
  </si>
  <si>
    <t>VERTEX</t>
  </si>
  <si>
    <t>CABWW320A / CABWW240A</t>
  </si>
  <si>
    <t>CAAU2094034</t>
  </si>
  <si>
    <t>NIGERIA</t>
  </si>
  <si>
    <t>SUNROSE</t>
  </si>
  <si>
    <t>RASU14</t>
  </si>
  <si>
    <t>MSMU3505440</t>
  </si>
  <si>
    <t>MEDU3438591</t>
  </si>
  <si>
    <t>THIN #78920</t>
  </si>
  <si>
    <t>5/15</t>
  </si>
  <si>
    <t>GRIML12 / GRIML32 / GRISW40</t>
  </si>
  <si>
    <t xml:space="preserve">UNITY </t>
  </si>
  <si>
    <t>ANDE / ANRO / GICR / KITR / PYDE2</t>
  </si>
  <si>
    <t>MSDU1798214</t>
  </si>
  <si>
    <r>
      <rPr>
        <b/>
        <sz val="14"/>
        <color rgb="FFFF0000"/>
        <rFont val="Arial"/>
        <family val="2"/>
      </rPr>
      <t>LONG GIA</t>
    </r>
    <r>
      <rPr>
        <b/>
        <sz val="14"/>
        <rFont val="Arial"/>
        <family val="2"/>
      </rPr>
      <t xml:space="preserve"> </t>
    </r>
    <r>
      <rPr>
        <b/>
        <sz val="14"/>
        <color rgb="FF00B0F0"/>
        <rFont val="Arial"/>
        <family val="2"/>
      </rPr>
      <t>(15%)</t>
    </r>
  </si>
  <si>
    <t>CABWW180</t>
  </si>
  <si>
    <t>FCIU3891162</t>
  </si>
  <si>
    <r>
      <rPr>
        <b/>
        <sz val="14"/>
        <rFont val="Arial"/>
        <family val="2"/>
      </rPr>
      <t>PHUONG DUY</t>
    </r>
    <r>
      <rPr>
        <b/>
        <sz val="14"/>
        <color rgb="FFFF0000"/>
        <rFont val="Arial"/>
        <family val="2"/>
      </rPr>
      <t xml:space="preserve"> </t>
    </r>
    <r>
      <rPr>
        <b/>
        <sz val="14"/>
        <color rgb="FF00B0F0"/>
        <rFont val="Arial"/>
        <family val="2"/>
      </rPr>
      <t>(10%)</t>
    </r>
  </si>
  <si>
    <t>CABSW320P</t>
  </si>
  <si>
    <t>MEDU4317022</t>
  </si>
  <si>
    <t>MIDC1</t>
  </si>
  <si>
    <t>MEDU7791502</t>
  </si>
  <si>
    <t>CONSTANTA</t>
  </si>
  <si>
    <t>ROMANIA</t>
  </si>
  <si>
    <t xml:space="preserve">MSDU5210273 </t>
  </si>
  <si>
    <t>PRIMA</t>
  </si>
  <si>
    <t>CIAAS / CIEE13</t>
  </si>
  <si>
    <t>CCLU7614390</t>
  </si>
  <si>
    <t>COSCO</t>
  </si>
  <si>
    <r>
      <t xml:space="preserve">DORI ALIMENTOS </t>
    </r>
    <r>
      <rPr>
        <b/>
        <sz val="14"/>
        <color rgb="FF00B0F0"/>
        <rFont val="Arial"/>
        <family val="2"/>
      </rPr>
      <t>(100%)</t>
    </r>
  </si>
  <si>
    <t>JUJUBE10K</t>
  </si>
  <si>
    <t>TCKU1760420</t>
  </si>
  <si>
    <t>SANTOS</t>
  </si>
  <si>
    <t>NEWARK</t>
  </si>
  <si>
    <t xml:space="preserve">JOHNVINCE </t>
  </si>
  <si>
    <t>RADO20</t>
  </si>
  <si>
    <t>ONTARIO</t>
  </si>
  <si>
    <t xml:space="preserve">MANGO5X7 / MATR / GICR / PYTI </t>
  </si>
  <si>
    <t>MSDU2280322</t>
  </si>
  <si>
    <t xml:space="preserve">CIAAB / CIAAS </t>
  </si>
  <si>
    <t>ZCSU6936595</t>
  </si>
  <si>
    <t>HOACHENG FOOD</t>
  </si>
  <si>
    <t>25652</t>
  </si>
  <si>
    <t>CIAA2/CIAAB2/CIAADAL/GOJI/GOJIB</t>
  </si>
  <si>
    <t>MSMU4709500</t>
  </si>
  <si>
    <t>SANMIK</t>
  </si>
  <si>
    <t>COFL25LBIO/COLAB20L</t>
  </si>
  <si>
    <t>CAIU6753699</t>
  </si>
  <si>
    <t>COLOMBO</t>
  </si>
  <si>
    <t>SRI LANKA</t>
  </si>
  <si>
    <t xml:space="preserve">ABDE8 </t>
  </si>
  <si>
    <t>MSMU3424729</t>
  </si>
  <si>
    <t>HORIZON</t>
  </si>
  <si>
    <t>SAMI #79072</t>
  </si>
  <si>
    <t>ABDE1 / ABD</t>
  </si>
  <si>
    <t>MSMU6275357</t>
  </si>
  <si>
    <t>SAMI #78983</t>
  </si>
  <si>
    <t>MERIDIAN</t>
  </si>
  <si>
    <t>HUGSON</t>
  </si>
  <si>
    <t>AMEN/AMND22BD/AMTR/AMBA</t>
  </si>
  <si>
    <r>
      <rPr>
        <b/>
        <sz val="14"/>
        <color rgb="FFFF0000"/>
        <rFont val="Arial"/>
        <family val="2"/>
      </rPr>
      <t>QINGDAO</t>
    </r>
    <r>
      <rPr>
        <b/>
        <sz val="14"/>
        <rFont val="Arial"/>
        <family val="2"/>
      </rPr>
      <t xml:space="preserve"> </t>
    </r>
    <r>
      <rPr>
        <b/>
        <sz val="14"/>
        <color rgb="FF00B0F0"/>
        <rFont val="Arial"/>
        <family val="2"/>
      </rPr>
      <t>(20%)</t>
    </r>
  </si>
  <si>
    <t>BEAU4060704</t>
  </si>
  <si>
    <t>CMACGM</t>
  </si>
  <si>
    <t>CAAU2269106</t>
  </si>
  <si>
    <t>TOECSB / 25lb</t>
  </si>
  <si>
    <t>TGHU6859259</t>
  </si>
  <si>
    <t>TLLU8548260</t>
  </si>
  <si>
    <r>
      <t>ARACHIDEF11JU (</t>
    </r>
    <r>
      <rPr>
        <sz val="14"/>
        <color rgb="FFFF0000"/>
        <rFont val="Arial"/>
        <family val="2"/>
      </rPr>
      <t>24/26</t>
    </r>
    <r>
      <rPr>
        <sz val="14"/>
        <rFont val="Arial"/>
        <family val="2"/>
      </rPr>
      <t>) / AREERS10K/SS20K</t>
    </r>
  </si>
  <si>
    <t>CXRU1625791</t>
  </si>
  <si>
    <t>FAZLANI</t>
  </si>
  <si>
    <t>SESA50L4</t>
  </si>
  <si>
    <t>MRKU4452548</t>
  </si>
  <si>
    <t>JOHNVINCE USD</t>
  </si>
  <si>
    <t>TORONTO</t>
  </si>
  <si>
    <t>AMCMS27</t>
  </si>
  <si>
    <t>Week May 27th 2024</t>
  </si>
  <si>
    <t>VACAVILLE, CAL</t>
  </si>
  <si>
    <t>Week June 3rd 2024</t>
  </si>
  <si>
    <t>TWCU2074792</t>
  </si>
  <si>
    <t>SEGU6204037</t>
  </si>
  <si>
    <t>GOLD FOODS</t>
  </si>
  <si>
    <t>BRMD1 /BRME</t>
  </si>
  <si>
    <t>MSCU5357738</t>
  </si>
  <si>
    <t>BOLIVIA</t>
  </si>
  <si>
    <t>BASSE</t>
  </si>
  <si>
    <t>MEDU5750649</t>
  </si>
  <si>
    <t>PARAEUS</t>
  </si>
  <si>
    <t>AMMOSUP20 (18/20)</t>
  </si>
  <si>
    <t>LOST HILLS, CAL</t>
  </si>
  <si>
    <r>
      <rPr>
        <b/>
        <sz val="14"/>
        <color rgb="FFFF0000"/>
        <rFont val="Arial"/>
        <family val="2"/>
      </rPr>
      <t xml:space="preserve">BEATRICE </t>
    </r>
    <r>
      <rPr>
        <b/>
        <sz val="14"/>
        <color rgb="FF00B0F0"/>
        <rFont val="Arial"/>
        <family val="2"/>
      </rPr>
      <t>(30%)</t>
    </r>
  </si>
  <si>
    <t>ARBL3842TOTE</t>
  </si>
  <si>
    <t>MSMU8795147</t>
  </si>
  <si>
    <t>Reference Intial PO20203 (deleted)</t>
  </si>
  <si>
    <t xml:space="preserve">TM DUCHE </t>
  </si>
  <si>
    <t>AMMOSUP18TMD</t>
  </si>
  <si>
    <t>ORLAND</t>
  </si>
  <si>
    <t>SAMI #79473</t>
  </si>
  <si>
    <t>UACU5607083</t>
  </si>
  <si>
    <t>PYDE5X7SS</t>
  </si>
  <si>
    <t>MSDU2370690</t>
  </si>
  <si>
    <t>THIN ADDICTIVES</t>
  </si>
  <si>
    <t>PYDE5X7SS / KITR / FREN</t>
  </si>
  <si>
    <t>MEDU2105410</t>
  </si>
  <si>
    <t>AMNPS20</t>
  </si>
  <si>
    <t>MODESTO</t>
  </si>
  <si>
    <t>YMMU1140405</t>
  </si>
  <si>
    <t>VANCOUVER  PORT</t>
  </si>
  <si>
    <t>BAKEMARK #79322</t>
  </si>
  <si>
    <t>CANPO</t>
  </si>
  <si>
    <t>EMCU3664361</t>
  </si>
  <si>
    <t>Week June 10th 2024</t>
  </si>
  <si>
    <t>26036</t>
  </si>
  <si>
    <t>CIAADAL</t>
  </si>
  <si>
    <t>FDCU0234924</t>
  </si>
  <si>
    <t>CAAU5080841</t>
  </si>
  <si>
    <t>GRIML12/GRIS40/GRIS15/GRISW40</t>
  </si>
  <si>
    <t>MACHESNAY</t>
  </si>
  <si>
    <t>ISG</t>
  </si>
  <si>
    <t>SESA50L2 / SESANAT</t>
  </si>
  <si>
    <t>MSMU8154307 </t>
  </si>
  <si>
    <t>GPR NUTS</t>
  </si>
  <si>
    <t>AVEC55LB</t>
  </si>
  <si>
    <t>CAIU6160414</t>
  </si>
  <si>
    <t>GREDMPO</t>
  </si>
  <si>
    <t>TEMU0494280</t>
  </si>
  <si>
    <t>PYDE5X7SS / CODE</t>
  </si>
  <si>
    <t>HLXU1036118</t>
  </si>
  <si>
    <t>CABWW180L</t>
  </si>
  <si>
    <t>MSDU1890207</t>
  </si>
  <si>
    <t>AMTR / AMNT / AMEN</t>
  </si>
  <si>
    <t>SALES CONTRACT # 40016237</t>
  </si>
  <si>
    <t>CAIU4353498</t>
  </si>
  <si>
    <t>LA FERME OLOFÉE</t>
  </si>
  <si>
    <t>AVFL5 / AVFLCR</t>
  </si>
  <si>
    <r>
      <t xml:space="preserve">LOC VIET </t>
    </r>
    <r>
      <rPr>
        <b/>
        <sz val="14"/>
        <color rgb="FF00B0F0"/>
        <rFont val="Arial"/>
        <family val="2"/>
      </rPr>
      <t>(15%)</t>
    </r>
  </si>
  <si>
    <t>CABWW240</t>
  </si>
  <si>
    <t>TGBU7814447</t>
  </si>
  <si>
    <t>SAMI BOL#77713</t>
  </si>
  <si>
    <t>QMTL00316884 - 6410029994</t>
  </si>
  <si>
    <t>ARACHIDEF11JU (24/28) / ARBCR25K (25/29)</t>
  </si>
  <si>
    <t>IKSU4131367</t>
  </si>
  <si>
    <t>JUNAN</t>
  </si>
  <si>
    <t>SALES CONTRACT # 40016233</t>
  </si>
  <si>
    <t>DONG THAI</t>
  </si>
  <si>
    <t>ARACHIDEF11 (24/28)</t>
  </si>
  <si>
    <t>CAIU8996342</t>
  </si>
  <si>
    <t xml:space="preserve">OCEAN SPRAY </t>
  </si>
  <si>
    <t>CANOC</t>
  </si>
  <si>
    <t>Week June 24th 2024</t>
  </si>
  <si>
    <t>DIVA #80208</t>
  </si>
  <si>
    <t>RADO26 / RATH51 / PRU09</t>
  </si>
  <si>
    <t>MSMU1891811</t>
  </si>
  <si>
    <t>CHILI</t>
  </si>
  <si>
    <t>CHO95 (DARK CHOCO)</t>
  </si>
  <si>
    <t>XINU1255434</t>
  </si>
  <si>
    <t>FCIU5955498</t>
  </si>
  <si>
    <t xml:space="preserve">CAMPOS BROTHER </t>
  </si>
  <si>
    <t>AMBACAMP</t>
  </si>
  <si>
    <t>CARUTHERS</t>
  </si>
  <si>
    <t>LYGU1661230</t>
  </si>
  <si>
    <t>RUDOLPH #79760</t>
  </si>
  <si>
    <t>Week July 1st, 2024</t>
  </si>
  <si>
    <t>PAPCO#79940</t>
  </si>
  <si>
    <t>HHXU3297765</t>
  </si>
  <si>
    <t>CHO91 (MILK CHOCO)</t>
  </si>
  <si>
    <t>GRELSP2 / GREMXBK / GRETNC</t>
  </si>
  <si>
    <t>TCS</t>
  </si>
  <si>
    <t>PADESRANCHO / PAMMRANCHO</t>
  </si>
  <si>
    <t>BEAU4925557</t>
  </si>
  <si>
    <t xml:space="preserve">HAPAG </t>
  </si>
  <si>
    <t>OOCU8509762</t>
  </si>
  <si>
    <t xml:space="preserve">DORI ALIMENTOS </t>
  </si>
  <si>
    <t>40RE</t>
  </si>
  <si>
    <t>CHOLENT10K/ JUJUBE10K</t>
  </si>
  <si>
    <t>TRIU8741804</t>
  </si>
  <si>
    <t>JF BRAUN</t>
  </si>
  <si>
    <t>COMA25L</t>
  </si>
  <si>
    <t>ELIZABETH, NJ</t>
  </si>
  <si>
    <t>LIN50L / LINM2 / LINMBIO</t>
  </si>
  <si>
    <t>SEKU1079174</t>
  </si>
  <si>
    <t>AMCMS23</t>
  </si>
  <si>
    <t>SALES CONTRACT # 40016364</t>
  </si>
  <si>
    <t>AMNPS18</t>
  </si>
  <si>
    <r>
      <t xml:space="preserve">LOC VIET </t>
    </r>
    <r>
      <rPr>
        <b/>
        <sz val="14"/>
        <color rgb="FF00B0F0"/>
        <rFont val="Arial"/>
        <family val="2"/>
      </rPr>
      <t>(10%)</t>
    </r>
  </si>
  <si>
    <t>CABWW320T</t>
  </si>
  <si>
    <t>MSDU2513260</t>
  </si>
  <si>
    <t>DELMAR</t>
  </si>
  <si>
    <t>MSMU3501070</t>
  </si>
  <si>
    <t>40 HC</t>
  </si>
  <si>
    <t>CIAAB2/CIAADAL</t>
  </si>
  <si>
    <t>FFAU4077786</t>
  </si>
  <si>
    <t>26264</t>
  </si>
  <si>
    <t>GOJIB</t>
  </si>
  <si>
    <t>BBTU8669330</t>
  </si>
  <si>
    <t>CANFOR / CANFOD</t>
  </si>
  <si>
    <t>Week July 22nd 2024</t>
  </si>
  <si>
    <t>PATTERSON</t>
  </si>
  <si>
    <t>AMNMVH / AMNPS18</t>
  </si>
  <si>
    <t>HAMU1400177</t>
  </si>
  <si>
    <r>
      <t xml:space="preserve">SUNRISE FOOD </t>
    </r>
    <r>
      <rPr>
        <b/>
        <sz val="14"/>
        <color rgb="FF00B0F0"/>
        <rFont val="Arial"/>
        <family val="2"/>
      </rPr>
      <t>(20%)</t>
    </r>
  </si>
  <si>
    <t>TLLU2832562</t>
  </si>
  <si>
    <t>MSKU7554329</t>
  </si>
  <si>
    <t>COSUFI25L/COFI25L/COGRME25L</t>
  </si>
  <si>
    <t>ABC'S</t>
  </si>
  <si>
    <t>Week July 29th 2024</t>
  </si>
  <si>
    <t>AMBUPASSR34</t>
  </si>
  <si>
    <t>SALES CONTRACT # 40016495</t>
  </si>
  <si>
    <t>HUGSON, CAL</t>
  </si>
  <si>
    <t>CIAA2/CIAADAL</t>
  </si>
  <si>
    <t>MSMU7178393</t>
  </si>
  <si>
    <t>ORCHID</t>
  </si>
  <si>
    <t>SESA50L3/SESANB</t>
  </si>
  <si>
    <t>CMAU8852395</t>
  </si>
  <si>
    <t>TULARE</t>
  </si>
  <si>
    <t>SAMI #80329</t>
  </si>
  <si>
    <t>FOLEY'S</t>
  </si>
  <si>
    <t>YOGWAFER</t>
  </si>
  <si>
    <t>CABWW240A/CABWW320/CABSW320A/CABCW240A</t>
  </si>
  <si>
    <t>CAIU3223247</t>
  </si>
  <si>
    <t>ABUJA</t>
  </si>
  <si>
    <t>BASSE USD</t>
  </si>
  <si>
    <t>JAZAM</t>
  </si>
  <si>
    <t>ARBL4050TOTE</t>
  </si>
  <si>
    <t>MSDU8231304</t>
  </si>
  <si>
    <t>POMPEIA</t>
  </si>
  <si>
    <t>BRESIL</t>
  </si>
  <si>
    <t>MSMU4145077</t>
  </si>
  <si>
    <t>CABWW240H</t>
  </si>
  <si>
    <t>MEDU5915477</t>
  </si>
  <si>
    <t>CIEE13</t>
  </si>
  <si>
    <t>MRKU4590737</t>
  </si>
  <si>
    <t>HOACHENG</t>
  </si>
  <si>
    <t>PIA25</t>
  </si>
  <si>
    <t>ARBCR25KA / TOECBIO25K</t>
  </si>
  <si>
    <t>ABD/ABDSS28L/FIGDE-G/FIG#2</t>
  </si>
  <si>
    <t>FBIU5136240</t>
  </si>
  <si>
    <t>arranged by shipper</t>
  </si>
  <si>
    <r>
      <rPr>
        <b/>
        <sz val="14"/>
        <color rgb="FFFF0000"/>
        <rFont val="Arial"/>
        <family val="2"/>
      </rPr>
      <t>EKO FOOD</t>
    </r>
    <r>
      <rPr>
        <b/>
        <sz val="14"/>
        <rFont val="Arial"/>
        <family val="2"/>
      </rPr>
      <t xml:space="preserve"> </t>
    </r>
    <r>
      <rPr>
        <b/>
        <sz val="14"/>
        <color rgb="FF00B0F0"/>
        <rFont val="Arial"/>
        <family val="2"/>
      </rPr>
      <t>(50%)</t>
    </r>
  </si>
  <si>
    <t>TOMA15K</t>
  </si>
  <si>
    <t>AMMFTMD / GREDMTMD</t>
  </si>
  <si>
    <t>GREDM40%</t>
  </si>
  <si>
    <t>HGIU500201</t>
  </si>
  <si>
    <t>DFSU1010199</t>
  </si>
  <si>
    <t>HGIU526897</t>
  </si>
  <si>
    <t>AVBL12.5K</t>
  </si>
  <si>
    <t>LYGU1604461</t>
  </si>
  <si>
    <t>ABDE1 / ABDE4</t>
  </si>
  <si>
    <t>COMA25LCEL3</t>
  </si>
  <si>
    <t>MSMU4962652</t>
  </si>
  <si>
    <r>
      <t xml:space="preserve">DEZHOU </t>
    </r>
    <r>
      <rPr>
        <b/>
        <sz val="14"/>
        <color rgb="FF00B0F0"/>
        <rFont val="Arial"/>
        <family val="2"/>
      </rPr>
      <t>(30%)</t>
    </r>
  </si>
  <si>
    <t>26256</t>
  </si>
  <si>
    <t>MESAM/MEOR/POISW/POIS10K</t>
  </si>
  <si>
    <t>MSMU2655826</t>
  </si>
  <si>
    <t>COME25LCEL3</t>
  </si>
  <si>
    <t>MSMU6676724</t>
  </si>
  <si>
    <t>SOUTHERN ROOTS</t>
  </si>
  <si>
    <t>PADESOUTH</t>
  </si>
  <si>
    <t>EL PASO, TX</t>
  </si>
  <si>
    <t>RASU20</t>
  </si>
  <si>
    <t>CCLU2912576</t>
  </si>
  <si>
    <t>CAIU2490531 </t>
  </si>
  <si>
    <r>
      <rPr>
        <b/>
        <sz val="14"/>
        <color rgb="FFFF0000"/>
        <rFont val="Arial"/>
        <family val="2"/>
      </rPr>
      <t xml:space="preserve">COMEXTRA </t>
    </r>
    <r>
      <rPr>
        <b/>
        <sz val="14"/>
        <color rgb="FF00B0F0"/>
        <rFont val="Arial"/>
        <family val="2"/>
      </rPr>
      <t>(20%)</t>
    </r>
  </si>
  <si>
    <t>OOCU0591840</t>
  </si>
  <si>
    <t>CABWW320BC</t>
  </si>
  <si>
    <t>SEGU2808430</t>
  </si>
  <si>
    <t>REPLACEMENT LOC VIET PO# 26047</t>
  </si>
  <si>
    <t>SEKU1498951</t>
  </si>
  <si>
    <t>REPLACEMENT LOC VIET PO# 26048</t>
  </si>
  <si>
    <t>DIVA #80248</t>
  </si>
  <si>
    <t>AMMOSUP18 (18/20)</t>
  </si>
  <si>
    <t>HGIU503507</t>
  </si>
  <si>
    <t>CMAU7923637</t>
  </si>
  <si>
    <t>CMAU6828321</t>
  </si>
  <si>
    <t>JV #81595</t>
  </si>
  <si>
    <t>TOECSB1</t>
  </si>
  <si>
    <t>HLBU1886963</t>
  </si>
  <si>
    <t>LIN50L</t>
  </si>
  <si>
    <t>GLDU2300970</t>
  </si>
  <si>
    <t>BAKEMARK #80618</t>
  </si>
  <si>
    <t>CAIU2726606</t>
  </si>
  <si>
    <t>CHIABN25K</t>
  </si>
  <si>
    <t>BSIU2059793</t>
  </si>
  <si>
    <t>SALES CONTRACT # 40016540</t>
  </si>
  <si>
    <r>
      <rPr>
        <b/>
        <sz val="14"/>
        <color rgb="FFFF0000"/>
        <rFont val="Arial"/>
        <family val="2"/>
      </rPr>
      <t xml:space="preserve">NEGIN </t>
    </r>
    <r>
      <rPr>
        <b/>
        <sz val="14"/>
        <color rgb="FF00B0F0"/>
        <rFont val="Arial"/>
        <family val="2"/>
      </rPr>
      <t>(20%)</t>
    </r>
  </si>
  <si>
    <t>PIEC  / PIEKA25 / PIEKA25MTL</t>
  </si>
  <si>
    <t>HLBU9480034</t>
  </si>
  <si>
    <t>PIRNS / PIRSG#1</t>
  </si>
  <si>
    <t>MSMU1261387</t>
  </si>
  <si>
    <t xml:space="preserve">ATLANTIC </t>
  </si>
  <si>
    <t>$1800MT</t>
  </si>
  <si>
    <t>NIDU2297727</t>
  </si>
  <si>
    <t>MEDU4911029</t>
  </si>
  <si>
    <t>TCLU4608430</t>
  </si>
  <si>
    <t>MANGO5X7/MATR</t>
  </si>
  <si>
    <t>HAMU1055640</t>
  </si>
  <si>
    <t>FCIU4602011</t>
  </si>
  <si>
    <t>TRC</t>
  </si>
  <si>
    <t>RADO21</t>
  </si>
  <si>
    <t>HASU1434158</t>
  </si>
  <si>
    <t xml:space="preserve">SESA50L2 </t>
  </si>
  <si>
    <t>TGBU9635610</t>
  </si>
  <si>
    <t>MAIS01 / MAIS03</t>
  </si>
  <si>
    <t xml:space="preserve">RIPON </t>
  </si>
  <si>
    <t>SALES CONTRACT # 40016464</t>
  </si>
  <si>
    <t>PR-FARMS</t>
  </si>
  <si>
    <t>AMCMS25 / AMCSSR20</t>
  </si>
  <si>
    <t>MADERA</t>
  </si>
  <si>
    <t>QUALITY NUT</t>
  </si>
  <si>
    <t>GRELSPQN</t>
  </si>
  <si>
    <t>RATH22</t>
  </si>
  <si>
    <t>NJ</t>
  </si>
  <si>
    <r>
      <rPr>
        <b/>
        <sz val="14"/>
        <color rgb="FFFF0000"/>
        <rFont val="Arial"/>
        <family val="2"/>
      </rPr>
      <t xml:space="preserve">LONG GIA </t>
    </r>
    <r>
      <rPr>
        <b/>
        <sz val="14"/>
        <color rgb="FF00B0F0"/>
        <rFont val="Arial"/>
        <family val="2"/>
      </rPr>
      <t>(10%)</t>
    </r>
  </si>
  <si>
    <t>MSDU4077588</t>
  </si>
  <si>
    <t>MEDU3551041</t>
  </si>
  <si>
    <t>JASLINER</t>
  </si>
  <si>
    <t>RATH40/RADO50/PRUNES</t>
  </si>
  <si>
    <t>BMOU2431035</t>
  </si>
  <si>
    <t>SAN ANTONIO</t>
  </si>
  <si>
    <t>MSNU2968629</t>
  </si>
  <si>
    <t>REPLACEMENT LOC VIET PO# 26049</t>
  </si>
  <si>
    <t>25606    25688</t>
  </si>
  <si>
    <t>COFLO25L / COFI25LCEL</t>
  </si>
  <si>
    <t>TIIU5520484</t>
  </si>
  <si>
    <r>
      <rPr>
        <b/>
        <sz val="14"/>
        <color rgb="FFFF0000"/>
        <rFont val="Arial"/>
        <family val="2"/>
      </rPr>
      <t xml:space="preserve">QINGDAO </t>
    </r>
    <r>
      <rPr>
        <b/>
        <sz val="14"/>
        <color rgb="FF00B0F0"/>
        <rFont val="Arial"/>
        <family val="2"/>
      </rPr>
      <t>(20%)</t>
    </r>
  </si>
  <si>
    <t>ARACHIDE 20/24</t>
  </si>
  <si>
    <t>MSMU8730233</t>
  </si>
  <si>
    <t>SAMI # 80891</t>
  </si>
  <si>
    <t>COME25CEL3</t>
  </si>
  <si>
    <t>TRHU5095040</t>
  </si>
  <si>
    <t>ARACHIDEF11JU 24/28</t>
  </si>
  <si>
    <t>BMOU9289771</t>
  </si>
  <si>
    <r>
      <rPr>
        <b/>
        <sz val="14"/>
        <color rgb="FFFF0000"/>
        <rFont val="Arial"/>
        <family val="2"/>
      </rPr>
      <t>AYNIRA</t>
    </r>
    <r>
      <rPr>
        <b/>
        <sz val="14"/>
        <rFont val="Arial"/>
        <family val="2"/>
      </rPr>
      <t xml:space="preserve"> </t>
    </r>
    <r>
      <rPr>
        <b/>
        <sz val="14"/>
        <color rgb="FF00B0F0"/>
        <rFont val="Arial"/>
        <family val="2"/>
      </rPr>
      <t>(50%)</t>
    </r>
  </si>
  <si>
    <t>POISCH / POCHBL5K / TOEEXL</t>
  </si>
  <si>
    <t>TLLU3227381</t>
  </si>
  <si>
    <t>PIRS20K</t>
  </si>
  <si>
    <t>PIA10ENKO</t>
  </si>
  <si>
    <t>HGIU528699</t>
  </si>
  <si>
    <t>SAMI #80917</t>
  </si>
  <si>
    <t>ANDE/ANRO/MATR/GICR/PYDE/2</t>
  </si>
  <si>
    <t>MSDU2426145</t>
  </si>
  <si>
    <t>MIXLOAD</t>
  </si>
  <si>
    <t>AREERS20K / AREERSS10K /S10K / ARACHIDEF11JU</t>
  </si>
  <si>
    <t>SZLU9259931</t>
  </si>
  <si>
    <t xml:space="preserve">ZIBA NUT </t>
  </si>
  <si>
    <t>RATHBIO</t>
  </si>
  <si>
    <t>CIEE13 / CIAAS</t>
  </si>
  <si>
    <t>SMCU1266819</t>
  </si>
  <si>
    <t>ARBCR25KA</t>
  </si>
  <si>
    <t>RASU37</t>
  </si>
  <si>
    <t>GLDU9540063</t>
  </si>
  <si>
    <t>BMOU2409094</t>
  </si>
  <si>
    <t>ARACHIDEF11A 24/28</t>
  </si>
  <si>
    <t>APHU6723446</t>
  </si>
  <si>
    <t>CONG HINH</t>
  </si>
  <si>
    <t>PCIU1834986</t>
  </si>
  <si>
    <t>MRSU6060030</t>
  </si>
  <si>
    <t>MAIS02 / MAIS04</t>
  </si>
  <si>
    <t>TEMU3233681</t>
  </si>
  <si>
    <t>RASU23</t>
  </si>
  <si>
    <t>CAAU2431433</t>
  </si>
  <si>
    <t>CAAU2417029</t>
  </si>
  <si>
    <t>CAAU2429436</t>
  </si>
  <si>
    <t>AMMFTMD</t>
  </si>
  <si>
    <t>HGIU517691</t>
  </si>
  <si>
    <t>CAAU2419891</t>
  </si>
  <si>
    <t>Week September 30th, 2024</t>
  </si>
  <si>
    <t>COME25CEL2</t>
  </si>
  <si>
    <t>MRSU6289371</t>
  </si>
  <si>
    <t>CAAU2418283</t>
  </si>
  <si>
    <t>SHUNDA</t>
  </si>
  <si>
    <t>MRKU8853976</t>
  </si>
  <si>
    <t>CABSW320C</t>
  </si>
  <si>
    <t>MRKU0456099</t>
  </si>
  <si>
    <t>CANFORBIO</t>
  </si>
  <si>
    <t>COMA25LCEL2</t>
  </si>
  <si>
    <t>MSDU8579460</t>
  </si>
  <si>
    <t>Week October 7th, 2024</t>
  </si>
  <si>
    <t>TCLU2511733</t>
  </si>
  <si>
    <t>MSNU7696605</t>
  </si>
  <si>
    <t>PYDE2 / PYDE / CODE / FREN / PYTI / KITR</t>
  </si>
  <si>
    <t>MEDU5509077</t>
  </si>
  <si>
    <t>SESA50L2</t>
  </si>
  <si>
    <r>
      <t>MSMU6081650</t>
    </r>
    <r>
      <rPr>
        <sz val="14"/>
        <rFont val="Aptos"/>
        <family val="2"/>
      </rPr>
      <t> </t>
    </r>
  </si>
  <si>
    <t>SESANB1 / SESANAT</t>
  </si>
  <si>
    <t>TIIU5893282</t>
  </si>
  <si>
    <t>Week October 14th, 2024</t>
  </si>
  <si>
    <t>AUTUMN SEED</t>
  </si>
  <si>
    <t>CIEEXLOR</t>
  </si>
  <si>
    <t>OREGON</t>
  </si>
  <si>
    <t>Week October 21st, 2024</t>
  </si>
  <si>
    <t>CAL COAST</t>
  </si>
  <si>
    <t>AMCMS23/25</t>
  </si>
  <si>
    <t>MRKU9972795</t>
  </si>
  <si>
    <t>VANCOUVER PORT</t>
  </si>
  <si>
    <t>BAKEMARK #81645</t>
  </si>
  <si>
    <t>October 2024</t>
  </si>
  <si>
    <t>MEDU4108260</t>
  </si>
  <si>
    <r>
      <t xml:space="preserve">BEATRICE </t>
    </r>
    <r>
      <rPr>
        <b/>
        <sz val="14"/>
        <color rgb="FF00B0F0"/>
        <rFont val="Arial"/>
        <family val="2"/>
      </rPr>
      <t>(30%)</t>
    </r>
  </si>
  <si>
    <t>26928</t>
  </si>
  <si>
    <t>MSMU8065025</t>
  </si>
  <si>
    <r>
      <rPr>
        <b/>
        <sz val="14"/>
        <rFont val="Arial"/>
        <family val="2"/>
      </rPr>
      <t>BEATRICE</t>
    </r>
    <r>
      <rPr>
        <b/>
        <sz val="14"/>
        <color rgb="FF00B0F0"/>
        <rFont val="Arial"/>
        <family val="2"/>
      </rPr>
      <t xml:space="preserve"> (30%)</t>
    </r>
  </si>
  <si>
    <t>26929</t>
  </si>
  <si>
    <t>MSDU5895700</t>
  </si>
  <si>
    <t>Week October 28th, 2024</t>
  </si>
  <si>
    <t xml:space="preserve">BEATRICE </t>
  </si>
  <si>
    <t>MSDU5497970</t>
  </si>
  <si>
    <t>STEWART &amp; JASPER</t>
  </si>
  <si>
    <t>AMNPX#120  /AMNPX18</t>
  </si>
  <si>
    <t>NEWMAN</t>
  </si>
  <si>
    <t>AMNPS20 / AMNPS22</t>
  </si>
  <si>
    <t>AMNPS36</t>
  </si>
  <si>
    <t>AMBA/AMEN/AMTR</t>
  </si>
  <si>
    <r>
      <rPr>
        <b/>
        <sz val="14"/>
        <color rgb="FFFF0000"/>
        <rFont val="Arial"/>
        <family val="2"/>
      </rPr>
      <t>GPR NUTS</t>
    </r>
    <r>
      <rPr>
        <b/>
        <sz val="14"/>
        <rFont val="Arial"/>
        <family val="2"/>
      </rPr>
      <t xml:space="preserve"> </t>
    </r>
    <r>
      <rPr>
        <b/>
        <sz val="14"/>
        <color rgb="FF00B0F0"/>
        <rFont val="Arial"/>
        <family val="2"/>
      </rPr>
      <t>(40%)</t>
    </r>
  </si>
  <si>
    <t>AVEC55L / AVEC55LB</t>
  </si>
  <si>
    <t>MSNU7837133</t>
  </si>
  <si>
    <t>FDCU0076562</t>
  </si>
  <si>
    <t>DADE10 / DADEK10</t>
  </si>
  <si>
    <t>CRSU1269201</t>
  </si>
  <si>
    <r>
      <rPr>
        <b/>
        <sz val="14"/>
        <color rgb="FFFF0000"/>
        <rFont val="Arial"/>
        <family val="2"/>
      </rPr>
      <t xml:space="preserve">AYNIRA </t>
    </r>
    <r>
      <rPr>
        <b/>
        <sz val="14"/>
        <color rgb="FF00B0F0"/>
        <rFont val="Arial"/>
        <family val="2"/>
      </rPr>
      <t>(20%)</t>
    </r>
  </si>
  <si>
    <t>TOEEXL170</t>
  </si>
  <si>
    <t xml:space="preserve"> MRKU5679958</t>
  </si>
  <si>
    <t>TH FOOD</t>
  </si>
  <si>
    <t>GRIML12 /32 / GRIS15 /40 / GRISNC</t>
  </si>
  <si>
    <t>CABWW320KI</t>
  </si>
  <si>
    <t>CAAU7470828</t>
  </si>
  <si>
    <t>GRELSP/GRETNC/GREMXBK2/GREDMPO</t>
  </si>
  <si>
    <t>Week November 4th, 2024</t>
  </si>
  <si>
    <t>AMNT/AMTX</t>
  </si>
  <si>
    <t>SALES CONTRACT # 40016464 &amp; # 40017225</t>
  </si>
  <si>
    <t>TLLU2559653</t>
  </si>
  <si>
    <r>
      <t xml:space="preserve">SVC </t>
    </r>
    <r>
      <rPr>
        <b/>
        <sz val="14"/>
        <color rgb="FF00B0F0"/>
        <rFont val="Arial"/>
        <family val="2"/>
      </rPr>
      <t>(30%)</t>
    </r>
  </si>
  <si>
    <t>DRYU4250551</t>
  </si>
  <si>
    <t>Week November 11th, 2024</t>
  </si>
  <si>
    <t>HLBU3549750</t>
  </si>
  <si>
    <t>ST-JOHN, NB</t>
  </si>
  <si>
    <t>CP VANCOUVER</t>
  </si>
  <si>
    <t>ING PLUS# 79573</t>
  </si>
  <si>
    <t>CAMPOS BROTHER</t>
  </si>
  <si>
    <t>AMBA/AMBD128/AMEN/AMNT/AMTR</t>
  </si>
  <si>
    <t>Week November 18th, 2024</t>
  </si>
  <si>
    <t>AIR PORT MTL</t>
  </si>
  <si>
    <t>MSDU5415993</t>
  </si>
  <si>
    <t>MEDU9461834</t>
  </si>
  <si>
    <t>HAMU1899298</t>
  </si>
  <si>
    <t>CABLWP</t>
  </si>
  <si>
    <t>FTAU1274650</t>
  </si>
  <si>
    <r>
      <t>BOZHOU</t>
    </r>
    <r>
      <rPr>
        <b/>
        <sz val="14"/>
        <color rgb="FFFF0000"/>
        <rFont val="Arial"/>
        <family val="2"/>
      </rPr>
      <t xml:space="preserve"> </t>
    </r>
    <r>
      <rPr>
        <b/>
        <sz val="14"/>
        <color rgb="FF00B0F0"/>
        <rFont val="Arial"/>
        <family val="2"/>
      </rPr>
      <t>(30%)</t>
    </r>
  </si>
  <si>
    <t>SELU4014322</t>
  </si>
  <si>
    <t>lodico</t>
  </si>
  <si>
    <t xml:space="preserve">TRIPLE CROWN </t>
  </si>
  <si>
    <t>PIRSG#1A (HORIZON)</t>
  </si>
  <si>
    <t>MSMU2776371</t>
  </si>
  <si>
    <t>ING PLUS# 79572</t>
  </si>
  <si>
    <t>ALBANESE</t>
  </si>
  <si>
    <t>GUMMYBEAR</t>
  </si>
  <si>
    <t>MERILLVILLE, IN</t>
  </si>
  <si>
    <t>LIN50L2 / LIND50L2 / LINM2</t>
  </si>
  <si>
    <t>Week November 25th, 2024</t>
  </si>
  <si>
    <t>AMTR</t>
  </si>
  <si>
    <t>ABDE4</t>
  </si>
  <si>
    <t>TCLU3873573</t>
  </si>
  <si>
    <t>FCL</t>
  </si>
  <si>
    <t>CIEE13 / CIAADAL</t>
  </si>
  <si>
    <t>FFAU2353972</t>
  </si>
  <si>
    <t>MRKU6581713</t>
  </si>
  <si>
    <t>ABDE0 / ABDE2 / ABDE0SS5K</t>
  </si>
  <si>
    <t>MSNU2368408</t>
  </si>
  <si>
    <t>MAIS01 (BBQ)</t>
  </si>
  <si>
    <t>RIPON</t>
  </si>
  <si>
    <t xml:space="preserve"> FIG#2 / FIG#4BIO</t>
  </si>
  <si>
    <t>CMAU0438497</t>
  </si>
  <si>
    <t>Week December 2nd, 2024</t>
  </si>
  <si>
    <t>TOMA / TOMA1KR</t>
  </si>
  <si>
    <t>CIAA2 / CIAAB2 / GOJI / TOECBIO25K</t>
  </si>
  <si>
    <t>CAAU5365989</t>
  </si>
  <si>
    <t>MIXLOAD SNACKS</t>
  </si>
  <si>
    <t>Week December 9th, 2024</t>
  </si>
  <si>
    <t>AMCMSCAL 30/32</t>
  </si>
  <si>
    <t>BMOU6272081</t>
  </si>
  <si>
    <t>YANG MING</t>
  </si>
  <si>
    <t>FBLU0238959</t>
  </si>
  <si>
    <t>YMMU6554603</t>
  </si>
  <si>
    <t>MEDU5268703</t>
  </si>
  <si>
    <t>CAIU7882812</t>
  </si>
  <si>
    <t>GREDMCQN</t>
  </si>
  <si>
    <t>Décharge 10 skids - Balance Lodico</t>
  </si>
  <si>
    <t>PR FARMS</t>
  </si>
  <si>
    <t>SESANAT / SESANB1</t>
  </si>
  <si>
    <t xml:space="preserve"> BEAU5367038</t>
  </si>
  <si>
    <t>Week December 16th, 2024</t>
  </si>
  <si>
    <t>TEMU4632773</t>
  </si>
  <si>
    <t>MERSIN</t>
  </si>
  <si>
    <t>COMA25LNICHE</t>
  </si>
  <si>
    <t>TGBU7470491</t>
  </si>
  <si>
    <t>TCNU1851741</t>
  </si>
  <si>
    <r>
      <t>QINGDAO</t>
    </r>
    <r>
      <rPr>
        <b/>
        <sz val="14"/>
        <color rgb="FFFF0000"/>
        <rFont val="Arial"/>
        <family val="2"/>
      </rPr>
      <t xml:space="preserve"> </t>
    </r>
    <r>
      <rPr>
        <b/>
        <sz val="14"/>
        <color rgb="FF00B0F0"/>
        <rFont val="Arial"/>
        <family val="2"/>
      </rPr>
      <t>(20%)</t>
    </r>
  </si>
  <si>
    <t>CAIU9919850</t>
  </si>
  <si>
    <t>HLBU2762099</t>
  </si>
  <si>
    <t>MEDU7923342</t>
  </si>
  <si>
    <t>MSCU5061617</t>
  </si>
  <si>
    <t>CABSP</t>
  </si>
  <si>
    <t>MSNU2357661</t>
  </si>
  <si>
    <r>
      <t>LONG GIA</t>
    </r>
    <r>
      <rPr>
        <b/>
        <sz val="14"/>
        <color rgb="FFFF0000"/>
        <rFont val="Arial"/>
        <family val="2"/>
      </rPr>
      <t xml:space="preserve"> </t>
    </r>
    <r>
      <rPr>
        <b/>
        <sz val="14"/>
        <color rgb="FF00B0F0"/>
        <rFont val="Arial"/>
        <family val="2"/>
      </rPr>
      <t>(10%)</t>
    </r>
  </si>
  <si>
    <t>TRHU5852729</t>
  </si>
  <si>
    <t>HOANG</t>
  </si>
  <si>
    <t>CABWW320H</t>
  </si>
  <si>
    <t>TRHU7483640</t>
  </si>
  <si>
    <t>HAMU1733291</t>
  </si>
  <si>
    <t>MSMU4329691</t>
  </si>
  <si>
    <t xml:space="preserve">KINGLAND </t>
  </si>
  <si>
    <t>TRHU6856821</t>
  </si>
  <si>
    <t>FOLEYS</t>
  </si>
  <si>
    <t>MSDU2099253</t>
  </si>
  <si>
    <t>Week December 30th, 2024</t>
  </si>
  <si>
    <t>27540</t>
  </si>
  <si>
    <t>FIG#2 / FIG#0</t>
  </si>
  <si>
    <t>MSNU2102573</t>
  </si>
  <si>
    <t>MAIS02 / MAIS05</t>
  </si>
  <si>
    <t>MSDU4597316</t>
  </si>
  <si>
    <t>MAIS05</t>
  </si>
  <si>
    <t>CARU2745388</t>
  </si>
  <si>
    <t>SZLU9618097</t>
  </si>
  <si>
    <t>AREERS10K/AREERSS10K/ARBCR25K</t>
  </si>
  <si>
    <t>SZLU9636275</t>
  </si>
  <si>
    <t>ECMU4798880</t>
  </si>
  <si>
    <t>MSDU4720267</t>
  </si>
  <si>
    <t>Week January 6th, 2025</t>
  </si>
  <si>
    <t>SESAMO / SESAMOBIO</t>
  </si>
  <si>
    <t>BSIU3319597</t>
  </si>
  <si>
    <t>ANDY</t>
  </si>
  <si>
    <r>
      <rPr>
        <b/>
        <sz val="14"/>
        <color rgb="FFFF0000"/>
        <rFont val="Arial"/>
        <family val="2"/>
      </rPr>
      <t xml:space="preserve">LAPISTA </t>
    </r>
    <r>
      <rPr>
        <b/>
        <sz val="14"/>
        <color rgb="FF00B0F0"/>
        <rFont val="Arial"/>
        <family val="2"/>
      </rPr>
      <t>(30%)</t>
    </r>
  </si>
  <si>
    <t>MIXLOAD PISTACHIOS</t>
  </si>
  <si>
    <t>MSCU4582884</t>
  </si>
  <si>
    <t>ASSAN</t>
  </si>
  <si>
    <t>19 PALLETS</t>
  </si>
  <si>
    <t xml:space="preserve">AMCSSR302 </t>
  </si>
  <si>
    <t>TTNU1038842</t>
  </si>
  <si>
    <t>Week January 13th, 2025</t>
  </si>
  <si>
    <t>SLR delivery date for OBL : Jan 6th</t>
  </si>
  <si>
    <t>COFL25LBIO/COLAB20L/HUCO100L</t>
  </si>
  <si>
    <t>MSNU1775353</t>
  </si>
  <si>
    <t>Week January 13h, 2025</t>
  </si>
  <si>
    <t>CIAAS / PORO10</t>
  </si>
  <si>
    <t>KOCU4324540</t>
  </si>
  <si>
    <t>HMM</t>
  </si>
  <si>
    <t>COSUFI25L / COGRME25L/COME25CEL2</t>
  </si>
  <si>
    <t>MAIS03 (SALTED)</t>
  </si>
  <si>
    <t>ARACHIDE (20/24)</t>
  </si>
  <si>
    <t>TGBU6858190</t>
  </si>
  <si>
    <t>Y.W.D. TRANSPORT</t>
  </si>
  <si>
    <t>SAMI #82933</t>
  </si>
  <si>
    <t>AMCSSR23</t>
  </si>
  <si>
    <t>Week January 20th, 2025</t>
  </si>
  <si>
    <t>GCXU2491673</t>
  </si>
  <si>
    <t>ZCSU7096597</t>
  </si>
  <si>
    <t xml:space="preserve">CIF </t>
  </si>
  <si>
    <t>HASU1351536</t>
  </si>
  <si>
    <t>RUDOLPH #82114</t>
  </si>
  <si>
    <t>MSMU5901414</t>
  </si>
  <si>
    <t>MSBU5324957</t>
  </si>
  <si>
    <t>PRIMA FARMS</t>
  </si>
  <si>
    <t>SMCU1235269</t>
  </si>
  <si>
    <t>GREAT WORLDWIDE</t>
  </si>
  <si>
    <t>CAIU4236090</t>
  </si>
  <si>
    <t>SALES CONTRACT # 04466</t>
  </si>
  <si>
    <t>HGIU502920</t>
  </si>
  <si>
    <t>HGIU525777</t>
  </si>
  <si>
    <r>
      <rPr>
        <b/>
        <sz val="14"/>
        <color rgb="FFFF0000"/>
        <rFont val="Arial"/>
        <family val="2"/>
      </rPr>
      <t>EKOFOOD</t>
    </r>
    <r>
      <rPr>
        <b/>
        <sz val="14"/>
        <rFont val="Arial"/>
        <family val="2"/>
      </rPr>
      <t xml:space="preserve"> </t>
    </r>
    <r>
      <rPr>
        <b/>
        <sz val="14"/>
        <color rgb="FF00B0F0"/>
        <rFont val="Arial"/>
        <family val="2"/>
      </rPr>
      <t>(50%)</t>
    </r>
  </si>
  <si>
    <t>CXRU1392690</t>
  </si>
  <si>
    <t>Week January 27th, 2025</t>
  </si>
  <si>
    <t>ABD/FIGDE-G/AVEC25KBIO/AVBL12.5K</t>
  </si>
  <si>
    <t>HAMU2369950</t>
  </si>
  <si>
    <t>HAMU2503760</t>
  </si>
  <si>
    <t>TLLU2443663</t>
  </si>
  <si>
    <t>HGIU519172</t>
  </si>
  <si>
    <t>SALES CONTRACT # 40017220</t>
  </si>
  <si>
    <t>AMMOSUP23</t>
  </si>
  <si>
    <t>TNXU289204</t>
  </si>
  <si>
    <t>AMNPX#1 20</t>
  </si>
  <si>
    <t>HGIU523263</t>
  </si>
  <si>
    <r>
      <t xml:space="preserve">AYNIRA </t>
    </r>
    <r>
      <rPr>
        <b/>
        <sz val="14"/>
        <color rgb="FF00B0F0"/>
        <rFont val="Arial"/>
        <family val="2"/>
      </rPr>
      <t>(100%)</t>
    </r>
  </si>
  <si>
    <t>TOEEXL170 / CIEE25B</t>
  </si>
  <si>
    <t>MSDU8189159</t>
  </si>
  <si>
    <t>Week February 3rd, 2025</t>
  </si>
  <si>
    <t>CMAU2333089</t>
  </si>
  <si>
    <t xml:space="preserve">QUALITY NUT </t>
  </si>
  <si>
    <t>CALIFORNIA</t>
  </si>
  <si>
    <t>GRELSP / GREMXBK</t>
  </si>
  <si>
    <t>CHO83</t>
  </si>
  <si>
    <t>CHO91 (MILK CHOCO) / CHO95 (DARK CHOCO)</t>
  </si>
  <si>
    <t>CHO79 (MILK CHOCO FOR CANDYBEC)</t>
  </si>
  <si>
    <t>Week February 10th, 2025</t>
  </si>
  <si>
    <t>CAAU7783205</t>
  </si>
  <si>
    <t>CAAU7779057</t>
  </si>
  <si>
    <t xml:space="preserve">AMBD128 / AMEN / AMTR </t>
  </si>
  <si>
    <t>MSNU2497920</t>
  </si>
  <si>
    <t>FIGDE-G / DADE10 / ABDE4BIO</t>
  </si>
  <si>
    <t>MSDU2137477</t>
  </si>
  <si>
    <t>PAVO</t>
  </si>
  <si>
    <t>CMAU5730752</t>
  </si>
  <si>
    <t>PIETRELLI</t>
  </si>
  <si>
    <t>PRU09-P / PRU14</t>
  </si>
  <si>
    <t>TRHU5566026</t>
  </si>
  <si>
    <t>VERVILLE</t>
  </si>
  <si>
    <t>STACK ON 20 PALLETS</t>
  </si>
  <si>
    <r>
      <t xml:space="preserve">NEGIN ELIXIR </t>
    </r>
    <r>
      <rPr>
        <b/>
        <sz val="14"/>
        <color rgb="FF00B0F0"/>
        <rFont val="Arial"/>
        <family val="2"/>
      </rPr>
      <t>(20%)</t>
    </r>
  </si>
  <si>
    <t>DASE</t>
  </si>
  <si>
    <t>TCLU5992252</t>
  </si>
  <si>
    <t>Week February 17th, 2025</t>
  </si>
  <si>
    <t>MSMU6384701</t>
  </si>
  <si>
    <t>GREDE22</t>
  </si>
  <si>
    <t>MSBU3092174</t>
  </si>
  <si>
    <r>
      <rPr>
        <b/>
        <sz val="14"/>
        <color rgb="FFFF0000"/>
        <rFont val="Arial"/>
        <family val="2"/>
      </rPr>
      <t>NEGIN ELIXIR</t>
    </r>
    <r>
      <rPr>
        <b/>
        <sz val="14"/>
        <rFont val="Arial"/>
        <family val="2"/>
      </rPr>
      <t xml:space="preserve"> </t>
    </r>
    <r>
      <rPr>
        <b/>
        <sz val="14"/>
        <color rgb="FF00B0F0"/>
        <rFont val="Arial"/>
        <family val="2"/>
      </rPr>
      <t>(20%)</t>
    </r>
  </si>
  <si>
    <t>TCLU3744869</t>
  </si>
  <si>
    <t>AVBL12.5SA / AVEC12.5K / AVEC25K</t>
  </si>
  <si>
    <t>MSNU2600679</t>
  </si>
  <si>
    <t>ING PLUS</t>
  </si>
  <si>
    <t>COME25LPP</t>
  </si>
  <si>
    <t>PORT COQUITLAM</t>
  </si>
  <si>
    <t>Week February 24th, 2025</t>
  </si>
  <si>
    <r>
      <rPr>
        <b/>
        <sz val="14"/>
        <color rgb="FFFF0000"/>
        <rFont val="Arial"/>
        <family val="2"/>
      </rPr>
      <t>NEGIN ELIXIR</t>
    </r>
    <r>
      <rPr>
        <b/>
        <sz val="14"/>
        <color rgb="FF00B0F0"/>
        <rFont val="Arial"/>
        <family val="2"/>
      </rPr>
      <t xml:space="preserve"> (20%)</t>
    </r>
  </si>
  <si>
    <t>PIECIR</t>
  </si>
  <si>
    <t>ZCSU6590455</t>
  </si>
  <si>
    <t>MSNU1532646</t>
  </si>
  <si>
    <r>
      <rPr>
        <b/>
        <sz val="14"/>
        <rFont val="Arial"/>
        <family val="2"/>
      </rPr>
      <t>LONG GIA</t>
    </r>
    <r>
      <rPr>
        <b/>
        <sz val="14"/>
        <color rgb="FFFF0000"/>
        <rFont val="Arial"/>
        <family val="2"/>
      </rPr>
      <t xml:space="preserve"> </t>
    </r>
    <r>
      <rPr>
        <b/>
        <sz val="14"/>
        <color rgb="FF00B0F0"/>
        <rFont val="Arial"/>
        <family val="2"/>
      </rPr>
      <t>(10%)</t>
    </r>
  </si>
  <si>
    <t>MSMU6516310</t>
  </si>
  <si>
    <t>MSMU6835322</t>
  </si>
  <si>
    <t>SAMIFRUITS</t>
  </si>
  <si>
    <t>MSDU1884987</t>
  </si>
  <si>
    <t>MEDU2544557</t>
  </si>
  <si>
    <t>TGHU3827730</t>
  </si>
  <si>
    <t>FANU1328705</t>
  </si>
  <si>
    <t>MIX SNACK</t>
  </si>
  <si>
    <t>LOWFREIGHT</t>
  </si>
  <si>
    <t>AMBA / AMBD128 / AMEN / AMND22BD/ AMTR/ AMNT</t>
  </si>
  <si>
    <t>HGIU503160</t>
  </si>
  <si>
    <t>PIRSG#1</t>
  </si>
  <si>
    <t>Week March 3rd, 2025</t>
  </si>
  <si>
    <t>HGIU522524</t>
  </si>
  <si>
    <t>HGIU526007</t>
  </si>
  <si>
    <t>HUBROUP</t>
  </si>
  <si>
    <t>Week March 10th, 2025</t>
  </si>
  <si>
    <t>MEDU6615052</t>
  </si>
  <si>
    <t>Week March 17th, 2025</t>
  </si>
  <si>
    <t>CIAA / CIAAB / CIEE13 /TOECBIO25KDO</t>
  </si>
  <si>
    <t>UETU5834522</t>
  </si>
  <si>
    <t>MSNU6648747</t>
  </si>
  <si>
    <t>PIDM30#1</t>
  </si>
  <si>
    <t>FIGDE-G / ABDE4BIO</t>
  </si>
  <si>
    <t>MSCU5821690</t>
  </si>
  <si>
    <t>LIN50L / LIND50L2 / LINM2</t>
  </si>
  <si>
    <t>CNRU238093</t>
  </si>
  <si>
    <t>BAGOT</t>
  </si>
  <si>
    <t>CARAVAN</t>
  </si>
  <si>
    <t>HGIU529464</t>
  </si>
  <si>
    <t>HGIU530156</t>
  </si>
  <si>
    <t>SCHALK</t>
  </si>
  <si>
    <t>CIAABIO25K</t>
  </si>
  <si>
    <t>HAMU3105503</t>
  </si>
  <si>
    <t>AUSTRIA</t>
  </si>
  <si>
    <t>GREENB / GREDMPAT</t>
  </si>
  <si>
    <t>HGIU522391</t>
  </si>
  <si>
    <t>HGIU519459</t>
  </si>
  <si>
    <t>Week March 24th, 2025</t>
  </si>
  <si>
    <t>MSBU8189784</t>
  </si>
  <si>
    <t>ANDE/ANMX/ANRO/KITR/MATR/PYDE2/PYMX</t>
  </si>
  <si>
    <t>MSMU1961272</t>
  </si>
  <si>
    <t>MANGO5X7 / PYDE2</t>
  </si>
  <si>
    <t>TRDU8766086</t>
  </si>
  <si>
    <t>LAEM CHABANG</t>
  </si>
  <si>
    <t xml:space="preserve">VANAME </t>
  </si>
  <si>
    <t>CANMARLM</t>
  </si>
  <si>
    <t>TM DUCHE</t>
  </si>
  <si>
    <t>AMMFTMD / GRDM20%TMD</t>
  </si>
  <si>
    <t>Week March 31st, 2025</t>
  </si>
  <si>
    <t>TOECSB / TOECPBO25L</t>
  </si>
  <si>
    <t>FFAU2746075</t>
  </si>
  <si>
    <t>AMCMS20/22 / AMNPS20 / AMCSSR20</t>
  </si>
  <si>
    <t>GTI</t>
  </si>
  <si>
    <t xml:space="preserve">FIG#2 </t>
  </si>
  <si>
    <t>TRHU1115071</t>
  </si>
  <si>
    <t xml:space="preserve">BERKIZ </t>
  </si>
  <si>
    <t>CMAU3853207</t>
  </si>
  <si>
    <t>AMBUPASSR27</t>
  </si>
  <si>
    <t>TRANSPRO</t>
  </si>
  <si>
    <t>MSMU6779907</t>
  </si>
  <si>
    <t xml:space="preserve">CAAU5011970 </t>
  </si>
  <si>
    <t>MRSU5534453</t>
  </si>
  <si>
    <t>Week April 7th, 2025</t>
  </si>
  <si>
    <r>
      <rPr>
        <b/>
        <sz val="14"/>
        <color rgb="FFFF0000"/>
        <rFont val="Arial"/>
        <family val="2"/>
      </rPr>
      <t xml:space="preserve">BOZHOU </t>
    </r>
    <r>
      <rPr>
        <b/>
        <sz val="14"/>
        <color rgb="FF00B0F0"/>
        <rFont val="Arial"/>
        <family val="2"/>
      </rPr>
      <t>(30%)</t>
    </r>
  </si>
  <si>
    <t>SMCU1217901</t>
  </si>
  <si>
    <t>SHULTERM INC - 2708 RUE LÉGER,
SHULTERM INC - 2708 RUE LÉGER LASALLE</t>
  </si>
  <si>
    <t>CIAA2 / GOJI / GOJIB</t>
  </si>
  <si>
    <t>BEAU5486037</t>
  </si>
  <si>
    <t>CHO99TOTE (MILK CHOCO FOR CANDYBEC)</t>
  </si>
  <si>
    <t>BSIU3325809</t>
  </si>
  <si>
    <t>ARBCR25K</t>
  </si>
  <si>
    <t>CTQU4406156</t>
  </si>
  <si>
    <t>Week April 14th, 2025</t>
  </si>
  <si>
    <t>SMCU1021544</t>
  </si>
  <si>
    <t>SAMI FRUITS</t>
  </si>
  <si>
    <t>AMBA/AMEN/AMNT/AMTR</t>
  </si>
  <si>
    <t>SALES CONTRACT # 40017715</t>
  </si>
  <si>
    <t>MSNU1115540</t>
  </si>
  <si>
    <t>PRU10 / PRU14 / PRU23</t>
  </si>
  <si>
    <t>MSNU7189576</t>
  </si>
  <si>
    <t>Week April 21st, 2025</t>
  </si>
  <si>
    <t>ILLINOIS</t>
  </si>
  <si>
    <t>SCOULAR</t>
  </si>
  <si>
    <t>LIN50L / LINM</t>
  </si>
  <si>
    <t>CNRU238305</t>
  </si>
  <si>
    <t>CAIU9899033</t>
  </si>
  <si>
    <t>TCS / GWL</t>
  </si>
  <si>
    <r>
      <rPr>
        <b/>
        <sz val="14"/>
        <color rgb="FFFF0000"/>
        <rFont val="Arial"/>
        <family val="2"/>
      </rPr>
      <t>DEZHOU</t>
    </r>
    <r>
      <rPr>
        <b/>
        <sz val="14"/>
        <rFont val="Arial"/>
        <family val="2"/>
      </rPr>
      <t xml:space="preserve"> </t>
    </r>
    <r>
      <rPr>
        <b/>
        <sz val="14"/>
        <color rgb="FF00B0F0"/>
        <rFont val="Arial"/>
        <family val="2"/>
      </rPr>
      <t>(100%)</t>
    </r>
  </si>
  <si>
    <t>MEOR / MESAM / POIS10K / POISW</t>
  </si>
  <si>
    <t>MSKU3530205</t>
  </si>
  <si>
    <t>Week April 28th, 2025</t>
  </si>
  <si>
    <t>MSMU5214110</t>
  </si>
  <si>
    <t>CAAU2376193</t>
  </si>
  <si>
    <t>ZIMUASU9003562</t>
  </si>
  <si>
    <r>
      <t>AYNIRA</t>
    </r>
    <r>
      <rPr>
        <b/>
        <sz val="14"/>
        <color rgb="FF00B0F0"/>
        <rFont val="Arial"/>
        <family val="2"/>
      </rPr>
      <t xml:space="preserve"> (100%)</t>
    </r>
  </si>
  <si>
    <t>SEKU6444650</t>
  </si>
  <si>
    <t>Week May 5th, 2025</t>
  </si>
  <si>
    <t>CAIU2694026</t>
  </si>
  <si>
    <t>Week May 12th, 2025</t>
  </si>
  <si>
    <t>SMCU1289882</t>
  </si>
  <si>
    <t>CNRU238424</t>
  </si>
  <si>
    <t>AMEN / AMBA / AMBD128 / AMND22BD / AMNDMRNS</t>
  </si>
  <si>
    <t>SALES CONTRACT # 40018063</t>
  </si>
  <si>
    <t>Week May 19th, 2025</t>
  </si>
  <si>
    <t>COFI25LCEL</t>
  </si>
  <si>
    <t>MSNU9059674</t>
  </si>
  <si>
    <t>DADEK10 / DAGAQA</t>
  </si>
  <si>
    <t>MSBU1159875</t>
  </si>
  <si>
    <t>MAGU5476036</t>
  </si>
  <si>
    <t>YANTAI</t>
  </si>
  <si>
    <t>LEGUMIX</t>
  </si>
  <si>
    <t>TGBU3059857</t>
  </si>
  <si>
    <t>TIIU2156018</t>
  </si>
  <si>
    <r>
      <t>HANIF'S FOODS</t>
    </r>
    <r>
      <rPr>
        <sz val="14"/>
        <color rgb="FFFF0000"/>
        <rFont val="Arial"/>
        <family val="2"/>
      </rPr>
      <t xml:space="preserve"> </t>
    </r>
    <r>
      <rPr>
        <b/>
        <sz val="14"/>
        <color rgb="FF00B0F0"/>
        <rFont val="Arial"/>
        <family val="2"/>
      </rPr>
      <t>(50%)</t>
    </r>
  </si>
  <si>
    <t>GESU6311977</t>
  </si>
  <si>
    <t>CMAU7341111</t>
  </si>
  <si>
    <t>Week May 26th, 2025</t>
  </si>
  <si>
    <t>BACH HY</t>
  </si>
  <si>
    <t>CABWW180H</t>
  </si>
  <si>
    <t>FTAU1467279</t>
  </si>
  <si>
    <t>NEFIS BULGUR</t>
  </si>
  <si>
    <t>BULGURTOTE</t>
  </si>
  <si>
    <t>UETU7771212</t>
  </si>
  <si>
    <t>TCKU1057320</t>
  </si>
  <si>
    <t xml:space="preserve">K+Nagel </t>
  </si>
  <si>
    <t>ONEU1558816</t>
  </si>
  <si>
    <t>Week June 2nd, 2025</t>
  </si>
  <si>
    <t>GCXU2189447</t>
  </si>
  <si>
    <t>GREEKYOGTOTE</t>
  </si>
  <si>
    <t>AVEC55L / DADE10 / ABDSS28L / ABD</t>
  </si>
  <si>
    <t>UACU3905258</t>
  </si>
  <si>
    <t>PADESNRANCHO</t>
  </si>
  <si>
    <t xml:space="preserve">EL PASO </t>
  </si>
  <si>
    <t>Week June 9th, 2025</t>
  </si>
  <si>
    <r>
      <rPr>
        <b/>
        <sz val="14"/>
        <color rgb="FFFF0000"/>
        <rFont val="Arial"/>
        <family val="2"/>
      </rPr>
      <t>AGROVER</t>
    </r>
    <r>
      <rPr>
        <b/>
        <sz val="14"/>
        <color rgb="FF00B0F0"/>
        <rFont val="Arial"/>
        <family val="2"/>
      </rPr>
      <t xml:space="preserve"> (30%)</t>
    </r>
  </si>
  <si>
    <t>RIARB900K</t>
  </si>
  <si>
    <t>HLBU3918334</t>
  </si>
  <si>
    <t>GENOA</t>
  </si>
  <si>
    <t>ITALY</t>
  </si>
  <si>
    <t>SEKU6771312</t>
  </si>
  <si>
    <t>TIIU4004098</t>
  </si>
  <si>
    <t>UETU7734266</t>
  </si>
  <si>
    <t>SMCU1147321</t>
  </si>
  <si>
    <t>SPRU6002480</t>
  </si>
  <si>
    <r>
      <t xml:space="preserve">ZIMUQIN4415971  </t>
    </r>
    <r>
      <rPr>
        <b/>
        <sz val="14"/>
        <color rgb="FFFF0000"/>
        <rFont val="Arial"/>
        <family val="2"/>
      </rPr>
      <t>*CREDIT NOTE*</t>
    </r>
  </si>
  <si>
    <t>PIEC25A</t>
  </si>
  <si>
    <t>Week June 16th, 2025</t>
  </si>
  <si>
    <t>MEDU6815338</t>
  </si>
  <si>
    <t>HLBU2223585</t>
  </si>
  <si>
    <t>COSUFI25L</t>
  </si>
  <si>
    <t xml:space="preserve">PYDE / PYDE2 / KITR / ANRO </t>
  </si>
  <si>
    <t>BSIU2725668</t>
  </si>
  <si>
    <t>ZIMUBKK80386339</t>
  </si>
  <si>
    <t>Week June 23rd, 2025</t>
  </si>
  <si>
    <r>
      <rPr>
        <b/>
        <sz val="18"/>
        <color rgb="FFFF0000"/>
        <rFont val="Arial"/>
        <family val="2"/>
      </rPr>
      <t>QINGDAO</t>
    </r>
    <r>
      <rPr>
        <b/>
        <sz val="18"/>
        <rFont val="Arial"/>
        <family val="2"/>
      </rPr>
      <t xml:space="preserve"> </t>
    </r>
    <r>
      <rPr>
        <b/>
        <sz val="18"/>
        <color rgb="FF00B0F0"/>
        <rFont val="Arial"/>
        <family val="2"/>
      </rPr>
      <t>(20%)</t>
    </r>
  </si>
  <si>
    <t>MSMU6486149</t>
  </si>
  <si>
    <r>
      <rPr>
        <b/>
        <sz val="18"/>
        <color rgb="FFFF0000"/>
        <rFont val="Arial"/>
        <family val="2"/>
      </rPr>
      <t xml:space="preserve">LONG GIA </t>
    </r>
    <r>
      <rPr>
        <b/>
        <sz val="18"/>
        <color rgb="FF00B0F0"/>
        <rFont val="Arial"/>
        <family val="2"/>
      </rPr>
      <t>(10%)</t>
    </r>
  </si>
  <si>
    <t>MSBU5111632</t>
  </si>
  <si>
    <t>TIIU2163681</t>
  </si>
  <si>
    <t>NEWARK, NJ</t>
  </si>
  <si>
    <t>GRDM40%TMD</t>
  </si>
  <si>
    <t>Week June 30th, 2025</t>
  </si>
  <si>
    <t xml:space="preserve">G&amp;K SALES </t>
  </si>
  <si>
    <t>CHO93 / CHOCO30 / CHOCOMCX</t>
  </si>
  <si>
    <t>SH June 2025</t>
  </si>
  <si>
    <t>MSDU8624894</t>
  </si>
  <si>
    <t>CAAU7474187</t>
  </si>
  <si>
    <t>Week July 7th, 2025</t>
  </si>
  <si>
    <t>PFAU1790556</t>
  </si>
  <si>
    <t>TCLU6919976</t>
  </si>
  <si>
    <r>
      <t xml:space="preserve">SUNRISE INS </t>
    </r>
    <r>
      <rPr>
        <b/>
        <sz val="18"/>
        <color rgb="FF00B0F0"/>
        <rFont val="Arial"/>
        <family val="2"/>
      </rPr>
      <t>(30%)</t>
    </r>
  </si>
  <si>
    <t>MSMU4251530</t>
  </si>
  <si>
    <t>MSBU5126801</t>
  </si>
  <si>
    <t>MSDU6524134</t>
  </si>
  <si>
    <t>TCNU2380501</t>
  </si>
  <si>
    <t>CAAU6721770</t>
  </si>
  <si>
    <t xml:space="preserve">SESAJAL </t>
  </si>
  <si>
    <t>END JUNE 2025</t>
  </si>
  <si>
    <t>BAKEMAR</t>
  </si>
  <si>
    <t>Week June 7th, 2025</t>
  </si>
  <si>
    <t>BMOU5813350</t>
  </si>
  <si>
    <t>ARACHIDF11 / TOECBIO25KDO</t>
  </si>
  <si>
    <t>Week July 14th, 2025</t>
  </si>
  <si>
    <t>July 11th, 2025</t>
  </si>
  <si>
    <t>July 14th, 2024</t>
  </si>
  <si>
    <t>Week July 14th, 2024</t>
  </si>
  <si>
    <t>July 14th, 2025</t>
  </si>
  <si>
    <t>MEDU5422681</t>
  </si>
  <si>
    <t>Atlantic</t>
  </si>
  <si>
    <t>CODE / GICR / PYDE2 / PYDE5X7SS</t>
  </si>
  <si>
    <t>MSBU1165501</t>
  </si>
  <si>
    <t>July 15th, 2025</t>
  </si>
  <si>
    <t>FTl</t>
  </si>
  <si>
    <t>ABC</t>
  </si>
  <si>
    <t>GRIML12/GIML32/GRIS15</t>
  </si>
  <si>
    <t>Week July 21st, 2025</t>
  </si>
  <si>
    <t>TGBU4557216</t>
  </si>
  <si>
    <t>K+NAGEL</t>
  </si>
  <si>
    <t>Week July 28th, 2025</t>
  </si>
  <si>
    <t>ONEU5065762</t>
  </si>
  <si>
    <t>MSMU2561619</t>
  </si>
  <si>
    <t>FCIU6483267</t>
  </si>
  <si>
    <t>MSMU7845011</t>
  </si>
  <si>
    <t>LIN50L2/LIND50L2/LINMBIO</t>
  </si>
  <si>
    <t>VAN AMEROGEN</t>
  </si>
  <si>
    <t>SEGU3070551</t>
  </si>
  <si>
    <t>Week August 4th, 2025</t>
  </si>
  <si>
    <t>DRYU4279365</t>
  </si>
  <si>
    <t>VENIZIA</t>
  </si>
  <si>
    <t>COUSME907K</t>
  </si>
  <si>
    <t>July 9th, 2025</t>
  </si>
  <si>
    <t>July 31st, 2025</t>
  </si>
  <si>
    <t>Week of August 4th, 2025</t>
  </si>
  <si>
    <t xml:space="preserve">CIAAS / CIEE13 </t>
  </si>
  <si>
    <t>CAAU9399185</t>
  </si>
  <si>
    <t>GWW</t>
  </si>
  <si>
    <t>PIA25KF</t>
  </si>
  <si>
    <t>TRHU4185874</t>
  </si>
  <si>
    <r>
      <t xml:space="preserve">QINGDAO </t>
    </r>
    <r>
      <rPr>
        <b/>
        <sz val="18"/>
        <color rgb="FF00B0F0"/>
        <rFont val="Arial"/>
        <family val="2"/>
      </rPr>
      <t>(20%)</t>
    </r>
  </si>
  <si>
    <t>TRLU7471838</t>
  </si>
  <si>
    <t>BEAU4000475</t>
  </si>
  <si>
    <t>Week July 28th, 2027</t>
  </si>
  <si>
    <t>FIG#2 / DADE10</t>
  </si>
  <si>
    <t>HLBU9097719</t>
  </si>
  <si>
    <t>CODE / GICR / PYDE2 / PYDE / MATR / MANGO6X7 / FREN</t>
  </si>
  <si>
    <t>TCLU2905660</t>
  </si>
  <si>
    <t>Week August 4th, 2026</t>
  </si>
  <si>
    <t>NOV 2024 / AUGUST 2025</t>
  </si>
  <si>
    <t>August 6,2025</t>
  </si>
  <si>
    <t>BEAU4068243</t>
  </si>
  <si>
    <t>TRIUMPH</t>
  </si>
  <si>
    <t>PLESSIVILLE</t>
  </si>
  <si>
    <t>Week August 11th, 2026</t>
  </si>
  <si>
    <t>UETU6593271</t>
  </si>
  <si>
    <t>GRIS40 / GRIS15 / GRIML32</t>
  </si>
  <si>
    <t>Week August 18th, 2025</t>
  </si>
  <si>
    <t>CLASS LOGISTICS</t>
  </si>
  <si>
    <t>Week August 18th, 2026</t>
  </si>
  <si>
    <t>DAYU2155503</t>
  </si>
  <si>
    <t>MSNU1398922</t>
  </si>
  <si>
    <t>INGREDIENT PLUS</t>
  </si>
  <si>
    <t xml:space="preserve">PIETRELLI </t>
  </si>
  <si>
    <t>PRU09-P / PRU14 / PRU23</t>
  </si>
  <si>
    <t>MSNU5697454</t>
  </si>
  <si>
    <t>TGBU7016344</t>
  </si>
  <si>
    <t>EXW</t>
  </si>
  <si>
    <t>ASHBURN</t>
  </si>
  <si>
    <t>RICHMOND</t>
  </si>
  <si>
    <t>CARAVAN GROUP</t>
  </si>
  <si>
    <t>Week August 25th, 2025</t>
  </si>
  <si>
    <t>LOCVIET</t>
  </si>
  <si>
    <t>MSNU2337074</t>
  </si>
  <si>
    <t>MSMU7794547</t>
  </si>
  <si>
    <t>GRELSP/GREMXBK</t>
  </si>
  <si>
    <t>Week September 1st, 2025</t>
  </si>
  <si>
    <t>ALL AMERICAN</t>
  </si>
  <si>
    <r>
      <rPr>
        <b/>
        <sz val="18"/>
        <color rgb="FFFF0000"/>
        <rFont val="Arial"/>
        <family val="2"/>
      </rPr>
      <t>GPR</t>
    </r>
    <r>
      <rPr>
        <b/>
        <sz val="18"/>
        <rFont val="Arial"/>
        <family val="2"/>
      </rPr>
      <t xml:space="preserve"> </t>
    </r>
    <r>
      <rPr>
        <b/>
        <sz val="18"/>
        <color rgb="FF00B0F0"/>
        <rFont val="Arial"/>
        <family val="2"/>
      </rPr>
      <t>(20%)</t>
    </r>
  </si>
  <si>
    <t>AVEC55LB / AVEC55 / AVEC55L</t>
  </si>
  <si>
    <t>MRSU6716386</t>
  </si>
  <si>
    <t>GRIS15 / GRIS40 / GRIML12 / GRIML32</t>
  </si>
  <si>
    <t>Week September 8th, 2025</t>
  </si>
  <si>
    <t>MAIS02/MAIS05/POISCH</t>
  </si>
  <si>
    <t>MAGU5653872</t>
  </si>
  <si>
    <t>LIN50L2 / LINM2 / LINMBIO</t>
  </si>
  <si>
    <t>DELIVERY</t>
  </si>
  <si>
    <t>AVBL12.5KBSA/AVBL12.5K</t>
  </si>
  <si>
    <t>MEDU4299269</t>
  </si>
  <si>
    <t>AMBUPASSR30</t>
  </si>
  <si>
    <t>MSBU3003979</t>
  </si>
  <si>
    <t>ORGANIC FARMS</t>
  </si>
  <si>
    <t>MRSU3280637</t>
  </si>
  <si>
    <t xml:space="preserve">NEWARK </t>
  </si>
  <si>
    <t>Week September 15th, 2025</t>
  </si>
  <si>
    <t>NUGGETS</t>
  </si>
  <si>
    <t>MSBU1319274</t>
  </si>
  <si>
    <t>CABLWP / CABWW320A</t>
  </si>
  <si>
    <t>MSMU8661575</t>
  </si>
  <si>
    <t xml:space="preserve">CANADA </t>
  </si>
  <si>
    <t>MSDU6713605</t>
  </si>
  <si>
    <t>PROMPT WEEK 34</t>
  </si>
  <si>
    <t>Week September 29th, 2025</t>
  </si>
  <si>
    <t>KMBU2070578</t>
  </si>
  <si>
    <t>Follow Inst. For returning</t>
  </si>
  <si>
    <t>BEAU5862279</t>
  </si>
  <si>
    <t>PRFARMS</t>
  </si>
  <si>
    <t>AMANDES</t>
  </si>
  <si>
    <t>HLBU3954012</t>
  </si>
  <si>
    <t>NEW YORK</t>
  </si>
  <si>
    <t>WAREHOUSE MTL</t>
  </si>
  <si>
    <t>AMBA / AMEN / AMTF / AMTR</t>
  </si>
  <si>
    <t>Week October 6th, 2025</t>
  </si>
  <si>
    <t>HASU4290080</t>
  </si>
  <si>
    <t>LFD: 2 Oct</t>
  </si>
  <si>
    <t>MSNU9047138</t>
  </si>
  <si>
    <t>PHILLIPINES</t>
  </si>
  <si>
    <t>KIM HY</t>
  </si>
  <si>
    <t>CABSPV</t>
  </si>
  <si>
    <t>CAAU6822966</t>
  </si>
  <si>
    <t>HASU4373293</t>
  </si>
  <si>
    <t>CMAU7561097</t>
  </si>
  <si>
    <t>CZECH REPUBLIC</t>
  </si>
  <si>
    <t>CAIU4461471</t>
  </si>
  <si>
    <t>40HQ</t>
  </si>
  <si>
    <t>SEKU6769676</t>
  </si>
  <si>
    <t>Week October 13th, 2025</t>
  </si>
  <si>
    <t>Simcoe, ON</t>
  </si>
  <si>
    <t>BANEL</t>
  </si>
  <si>
    <t>MSMU6094451</t>
  </si>
  <si>
    <t>CHO92</t>
  </si>
  <si>
    <t>WINSCONSIN</t>
  </si>
  <si>
    <t>Week October 20th, 2025</t>
  </si>
  <si>
    <t>CAPE DRY</t>
  </si>
  <si>
    <t>FFAU2951228</t>
  </si>
  <si>
    <t>THRUTAINERS</t>
  </si>
  <si>
    <t>ROTTERDAM</t>
  </si>
  <si>
    <t>TMDUCHE</t>
  </si>
  <si>
    <t>HEALTHY GRAINS</t>
  </si>
  <si>
    <t>MRSU7976644</t>
  </si>
  <si>
    <t>POWELLUS</t>
  </si>
  <si>
    <t>PANKTBC25L</t>
  </si>
  <si>
    <t>AMCSSR25 AMNPS30</t>
  </si>
  <si>
    <t>MADERA CA</t>
  </si>
  <si>
    <t>TCKU6844946</t>
  </si>
  <si>
    <t>MERIDIAN NUT</t>
  </si>
  <si>
    <t>cad</t>
  </si>
  <si>
    <t>LOC VIET</t>
  </si>
  <si>
    <t>MSNU1259974</t>
  </si>
  <si>
    <t>ANDE/ANMX/ANRO/CODE/FREN/GICR/GICRD/MATR</t>
  </si>
  <si>
    <t>BMOU2097210</t>
  </si>
  <si>
    <t>Pls find below return location and please make sure to make an appointment  with depot before return, also kindly provide EIR once available.
MBL# 14540594
CONTAINER# BMOU2097210</t>
  </si>
  <si>
    <t>CONTRACT OVERVIEW - CANADA NUT</t>
  </si>
  <si>
    <t>CONTRACT #</t>
  </si>
  <si>
    <t>COMMODITY</t>
  </si>
  <si>
    <t>INIT. VOL. (LB)</t>
  </si>
  <si>
    <t>REM. VOL. (LB)</t>
  </si>
  <si>
    <t>PRICE (CAD)</t>
  </si>
  <si>
    <t>$ BALANCE (CAD)</t>
  </si>
  <si>
    <t>START DATE</t>
  </si>
  <si>
    <t>EXPIRATION DATE</t>
  </si>
  <si>
    <t>BLANCHED EXTRA FINE FLOUR - AMMFXFBD</t>
  </si>
  <si>
    <t>03/03/2025</t>
  </si>
  <si>
    <t>06/30/2025</t>
  </si>
  <si>
    <t>#40017715</t>
  </si>
  <si>
    <t>#27982</t>
  </si>
  <si>
    <t>SWEET SLICED DRIED CRANBERRY - CANMAR</t>
  </si>
  <si>
    <t>01/12/2024</t>
  </si>
  <si>
    <t>30/09/2025</t>
  </si>
  <si>
    <t>19/14.08.2024</t>
  </si>
  <si>
    <t>SHELLED SUNFLOWER RAW BAKERS - TOECSB</t>
  </si>
  <si>
    <t>01/09/2024</t>
  </si>
  <si>
    <t>30/06/2025</t>
  </si>
  <si>
    <t>SA000294</t>
  </si>
  <si>
    <t>MILK CHOCOLAT - CHO92</t>
  </si>
  <si>
    <t>01/01/2024</t>
  </si>
  <si>
    <t>31/12/2025</t>
  </si>
  <si>
    <t>#00017241</t>
  </si>
  <si>
    <t>DRIED CRANBERRY - CANFOR</t>
  </si>
  <si>
    <t>01/01/2025</t>
  </si>
  <si>
    <t>DICED DRIED CRANBERRY - CANFOD</t>
  </si>
  <si>
    <t>#04466</t>
  </si>
  <si>
    <t>MEDIUM BLANCHED PEANUT USA - ARBCR2200</t>
  </si>
  <si>
    <t>01/10/2024</t>
  </si>
  <si>
    <t>31/01/2025</t>
  </si>
  <si>
    <t>#04486</t>
  </si>
  <si>
    <t>31/05/2025</t>
  </si>
  <si>
    <t>SD2424053</t>
  </si>
  <si>
    <t>QINGDAO SHENGDE</t>
  </si>
  <si>
    <t>PEANUT KERNELS 20/24 - ARACHIDE</t>
  </si>
  <si>
    <t>28/02/2025</t>
  </si>
  <si>
    <t>SD2424054</t>
  </si>
  <si>
    <t>PEANUT KERNELS 24/28 F11 - ARACHIDEF11A</t>
  </si>
  <si>
    <t>SD2424050</t>
  </si>
  <si>
    <t>JAPAN REDSKIN PEANUT 21/23 FLOWER - ARARJAP21</t>
  </si>
  <si>
    <t>#2356TR03</t>
  </si>
  <si>
    <t>SULTANA RAISIN TYPE 9 SMALL - RASU10</t>
  </si>
  <si>
    <t>24DTCN03</t>
  </si>
  <si>
    <t>SHINESKIN AA - CIAAS</t>
  </si>
  <si>
    <t>01/11/2024</t>
  </si>
  <si>
    <t>LG240905</t>
  </si>
  <si>
    <t>SULTANA RAISIN MEDIUM - RASU12A</t>
  </si>
  <si>
    <t>31/12/2024</t>
  </si>
  <si>
    <t>SULTANA RAISIN JUMBO - RASU21</t>
  </si>
  <si>
    <t>C482062</t>
  </si>
  <si>
    <t>WONDERFUL</t>
  </si>
  <si>
    <t>ROASTED &amp; SALTED PISTACHIO CALI - PIRSG</t>
  </si>
  <si>
    <t>C482267</t>
  </si>
  <si>
    <t>ALMOND NPX 20/22 - AMNPX#1 20</t>
  </si>
  <si>
    <t>11/11/2024</t>
  </si>
  <si>
    <t>31/08/2025</t>
  </si>
  <si>
    <t>RAW MONTEREY SUP ALMOND 23/25 - AMMOSUP23</t>
  </si>
  <si>
    <t>MONTEREY SUP ALMOND 18/20 - AMMOSUP18</t>
  </si>
  <si>
    <t>TOTAL</t>
  </si>
  <si>
    <t>60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</si>
</sst>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 #,##0.00_-;_-* &quot;-&quot;??_-;_-@_-"/>
    <numFmt numFmtId="164" formatCode="#,##0\ &quot;$&quot;_);[Red]\(#,##0\ &quot;$&quot;\)"/>
    <numFmt numFmtId="165" formatCode="_ * #,##0.00_)\ &quot;$&quot;_ ;_ * \(#,##0.00\)\ &quot;$&quot;_ ;_ * &quot;-&quot;??_)\ &quot;$&quot;_ ;_ @_ "/>
    <numFmt numFmtId="166" formatCode="_ * #,##0_)\ _$_ ;_ * \(#,##0\)\ _$_ ;_ * &quot;-&quot;_)\ _$_ ;_ @_ "/>
    <numFmt numFmtId="167" formatCode="_ * #,##0.00_)\ _$_ ;_ * \(#,##0.00\)\ _$_ ;_ * &quot;-&quot;??_)\ _$_ ;_ @_ "/>
    <numFmt numFmtId="168" formatCode="#,##0.00\ &quot;$&quot;"/>
    <numFmt numFmtId="169" formatCode="_-* #,##0.00\ _€_-;\-* #,##0.00\ _€_-;_-* &quot;-&quot;??\ _€_-;_-@_-"/>
    <numFmt numFmtId="170" formatCode="_(* #,##0.00_);_(* \(#,##0.00\);_(* \-??_);_(@_)"/>
    <numFmt numFmtId="171" formatCode="[$-F800]dddd\,\ mmmm\ dd\,\ yyyy"/>
    <numFmt numFmtId="172" formatCode="_ * #,##0_)\ &quot;$&quot;_ ;_ * \(#,##0\)\ &quot;$&quot;_ ;_ * &quot;-&quot;??_)\ &quot;$&quot;_ ;_ @_ "/>
    <numFmt numFmtId="173" formatCode="yyyy/mm/dd;@"/>
    <numFmt numFmtId="174" formatCode="_ * #,##0.000_)\ _$_ ;_ * \(#,##0.000\)\ _$_ ;_ * &quot;-&quot;??_)\ _$_ ;_ @_ "/>
    <numFmt numFmtId="175" formatCode="_-[$€-2]\ * #,##0.00_-;\-[$€-2]\ * #,##0.00_-;_-[$€-2]\ * &quot;-&quot;??_-;_-@_-"/>
    <numFmt numFmtId="176" formatCode="_-[$CAD]\ * #,##0_-;\-[$CAD]\ * #,##0_-;_-[$CAD]\ * &quot;-&quot;_-;_-@_-"/>
    <numFmt numFmtId="177" formatCode="_-* #,##0.00\ [$€-40C]_-;\-* #,##0.00\ [$€-40C]_-;_-* &quot;-&quot;??\ [$€-40C]_-;_-@_-"/>
  </numFmts>
  <fonts count="8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11"/>
      <color rgb="FF9C0006"/>
      <name val="Calibri"/>
      <family val="2"/>
      <scheme val="minor"/>
    </font>
    <font>
      <sz val="10"/>
      <name val="Arial"/>
      <family val="2"/>
    </font>
    <font>
      <sz val="10"/>
      <name val="Arial"/>
      <family val="2"/>
    </font>
    <font>
      <sz val="11"/>
      <color indexed="8"/>
      <name val="Calibri"/>
      <family val="2"/>
    </font>
    <font>
      <b/>
      <sz val="24"/>
      <color indexed="8"/>
      <name val="Calibri"/>
      <family val="2"/>
    </font>
    <font>
      <sz val="18"/>
      <color indexed="8"/>
      <name val="Calibri"/>
      <family val="2"/>
    </font>
    <font>
      <sz val="12"/>
      <color indexed="8"/>
      <name val="Calibri"/>
      <family val="2"/>
    </font>
    <font>
      <i/>
      <sz val="10"/>
      <color indexed="23"/>
      <name val="Calibri"/>
      <family val="2"/>
    </font>
    <font>
      <sz val="10"/>
      <color indexed="17"/>
      <name val="Calibri"/>
      <family val="2"/>
    </font>
    <font>
      <sz val="10"/>
      <color indexed="19"/>
      <name val="Calibri"/>
      <family val="2"/>
    </font>
    <font>
      <sz val="10"/>
      <color indexed="10"/>
      <name val="Calibri"/>
      <family val="2"/>
    </font>
    <font>
      <b/>
      <sz val="10"/>
      <color indexed="9"/>
      <name val="Calibri"/>
      <family val="2"/>
    </font>
    <font>
      <b/>
      <sz val="10"/>
      <color indexed="8"/>
      <name val="Calibri"/>
      <family val="2"/>
    </font>
    <font>
      <sz val="10"/>
      <color indexed="9"/>
      <name val="Calibri"/>
      <family val="2"/>
    </font>
    <font>
      <sz val="8"/>
      <name val="Arial"/>
      <family val="2"/>
    </font>
    <font>
      <b/>
      <sz val="14"/>
      <name val="Arial"/>
      <family val="2"/>
    </font>
    <font>
      <sz val="14"/>
      <name val="Arial"/>
      <family val="2"/>
    </font>
    <font>
      <b/>
      <sz val="14"/>
      <color rgb="FFFF0000"/>
      <name val="Arial"/>
      <family val="2"/>
    </font>
    <font>
      <sz val="10"/>
      <color rgb="FF000000"/>
      <name val="Arial"/>
      <family val="2"/>
    </font>
    <font>
      <sz val="11"/>
      <color theme="1"/>
      <name val="Calibri"/>
      <family val="2"/>
      <scheme val="minor"/>
    </font>
    <font>
      <sz val="10"/>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Calibri"/>
      <family val="1"/>
      <scheme val="minor"/>
    </font>
    <font>
      <b/>
      <sz val="18"/>
      <color indexed="56"/>
      <name val="Cambria"/>
      <family val="1"/>
    </font>
    <font>
      <sz val="10"/>
      <color rgb="FF000000"/>
      <name val="Arial"/>
      <family val="2"/>
    </font>
    <font>
      <b/>
      <sz val="14"/>
      <color rgb="FF00B0F0"/>
      <name val="Arial"/>
      <family val="2"/>
    </font>
    <font>
      <sz val="10"/>
      <color rgb="FF000000"/>
      <name val="Arial"/>
      <family val="2"/>
    </font>
    <font>
      <b/>
      <strike/>
      <sz val="14"/>
      <name val="Arial"/>
      <family val="2"/>
    </font>
    <font>
      <b/>
      <sz val="14"/>
      <color theme="1"/>
      <name val="Arial"/>
      <family val="2"/>
    </font>
    <font>
      <sz val="14"/>
      <color theme="1"/>
      <name val="Arial"/>
      <family val="2"/>
    </font>
    <font>
      <b/>
      <strike/>
      <sz val="14"/>
      <color theme="1"/>
      <name val="Arial"/>
      <family val="2"/>
    </font>
    <font>
      <sz val="10"/>
      <color rgb="FFFF0000"/>
      <name val="Arial"/>
      <family val="2"/>
    </font>
    <font>
      <sz val="14"/>
      <color rgb="FFFF0000"/>
      <name val="Arial"/>
      <family val="2"/>
    </font>
    <font>
      <b/>
      <sz val="16"/>
      <color rgb="FF00B0F0"/>
      <name val="Arial"/>
      <family val="2"/>
    </font>
    <font>
      <b/>
      <sz val="16"/>
      <color theme="1"/>
      <name val="Arial"/>
      <family val="2"/>
    </font>
    <font>
      <b/>
      <sz val="16"/>
      <name val="Arial"/>
      <family val="2"/>
    </font>
    <font>
      <sz val="16"/>
      <name val="Arial"/>
      <family val="2"/>
    </font>
    <font>
      <b/>
      <sz val="16"/>
      <color rgb="FFFF0000"/>
      <name val="Arial"/>
      <family val="2"/>
    </font>
    <font>
      <sz val="16"/>
      <color theme="1"/>
      <name val="Arial"/>
      <family val="2"/>
    </font>
    <font>
      <sz val="10"/>
      <color rgb="FF000000"/>
      <name val="Arial"/>
      <family val="2"/>
    </font>
    <font>
      <b/>
      <strike/>
      <sz val="16"/>
      <name val="Arial"/>
      <family val="2"/>
    </font>
    <font>
      <sz val="14"/>
      <name val="Aptos"/>
      <family val="2"/>
    </font>
    <font>
      <b/>
      <sz val="16"/>
      <color theme="1"/>
      <name val="Calibri"/>
      <family val="2"/>
      <scheme val="minor"/>
    </font>
    <font>
      <b/>
      <sz val="11"/>
      <color theme="1"/>
      <name val="Calibri"/>
      <family val="2"/>
      <scheme val="minor"/>
    </font>
    <font>
      <b/>
      <sz val="14"/>
      <color theme="1"/>
      <name val="Calibri"/>
      <family val="2"/>
      <scheme val="minor"/>
    </font>
    <font>
      <b/>
      <sz val="10"/>
      <name val="Arial"/>
      <family val="2"/>
    </font>
    <font>
      <b/>
      <sz val="18"/>
      <name val="Arial"/>
      <family val="2"/>
    </font>
    <font>
      <sz val="18"/>
      <name val="Arial"/>
      <family val="2"/>
    </font>
    <font>
      <b/>
      <sz val="18"/>
      <color rgb="FFFF0000"/>
      <name val="Arial"/>
      <family val="2"/>
    </font>
    <font>
      <b/>
      <sz val="18"/>
      <color theme="1"/>
      <name val="Arial"/>
      <family val="2"/>
    </font>
    <font>
      <b/>
      <sz val="18"/>
      <color rgb="FF00B0F0"/>
      <name val="Arial"/>
      <family val="2"/>
    </font>
    <font>
      <sz val="18"/>
      <color theme="1"/>
      <name val="Arial"/>
      <family val="2"/>
    </font>
    <font>
      <b/>
      <strike/>
      <sz val="18"/>
      <name val="Arial"/>
      <family val="2"/>
    </font>
    <font>
      <sz val="8"/>
      <name val="Arial"/>
      <family val="2"/>
    </font>
    <font>
      <b/>
      <strike/>
      <sz val="18"/>
      <color theme="1"/>
      <name val="Arial"/>
      <family val="2"/>
    </font>
    <font>
      <sz val="28"/>
      <name val="Arial"/>
      <family val="2"/>
    </font>
    <font>
      <b/>
      <sz val="9"/>
      <color indexed="81"/>
      <name val="Tahoma"/>
      <family val="2"/>
    </font>
    <font>
      <sz val="9"/>
      <color indexed="81"/>
      <name val="Tahoma"/>
      <family val="2"/>
    </font>
  </fonts>
  <fills count="48">
    <fill>
      <patternFill patternType="none"/>
    </fill>
    <fill>
      <patternFill patternType="gray125"/>
    </fill>
    <fill>
      <patternFill patternType="solid">
        <fgColor indexed="22"/>
        <bgColor indexed="64"/>
      </patternFill>
    </fill>
    <fill>
      <patternFill patternType="solid">
        <fgColor rgb="FFFFC7CE"/>
      </patternFill>
    </fill>
    <fill>
      <patternFill patternType="solid">
        <fgColor theme="0"/>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399975585192419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theme="0" tint="-0.14999847407452621"/>
      </patternFill>
    </fill>
    <fill>
      <patternFill patternType="solid">
        <fgColor theme="4" tint="0.59999389629810485"/>
        <bgColor indexed="64"/>
      </patternFill>
    </fill>
    <fill>
      <patternFill patternType="solid">
        <fgColor rgb="FFFFCCFF"/>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ck">
        <color rgb="FF7030A0"/>
      </bottom>
      <diagonal/>
    </border>
    <border>
      <left style="thin">
        <color indexed="64"/>
      </left>
      <right style="thin">
        <color indexed="64"/>
      </right>
      <top/>
      <bottom style="thin">
        <color rgb="FF7030A0"/>
      </bottom>
      <diagonal/>
    </border>
    <border>
      <left style="thin">
        <color indexed="64"/>
      </left>
      <right/>
      <top style="thin">
        <color indexed="64"/>
      </top>
      <bottom style="thick">
        <color rgb="FF7030A0"/>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578">
    <xf numFmtId="0" fontId="0" fillId="0" borderId="0"/>
    <xf numFmtId="0" fontId="10" fillId="3" borderId="0" applyNumberFormat="0" applyBorder="0" applyAlignment="0" applyProtection="0"/>
    <xf numFmtId="0" fontId="8" fillId="0" borderId="0"/>
    <xf numFmtId="0" fontId="9" fillId="0" borderId="0"/>
    <xf numFmtId="165" fontId="11" fillId="0" borderId="0" applyFont="0" applyFill="0" applyBorder="0" applyAlignment="0" applyProtection="0"/>
    <xf numFmtId="169" fontId="12" fillId="0" borderId="0" applyFont="0" applyFill="0" applyBorder="0" applyAlignment="0" applyProtection="0"/>
    <xf numFmtId="0" fontId="13" fillId="0" borderId="0"/>
    <xf numFmtId="0" fontId="22" fillId="0" borderId="0" applyNumberFormat="0" applyFill="0" applyBorder="0" applyAlignment="0" applyProtection="0"/>
    <xf numFmtId="0" fontId="23" fillId="9"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1" fillId="12" borderId="0" applyNumberFormat="0" applyBorder="0" applyAlignment="0" applyProtection="0"/>
    <xf numFmtId="0" fontId="17" fillId="0" borderId="0" applyNumberFormat="0" applyFill="0" applyBorder="0" applyAlignment="0" applyProtection="0"/>
    <xf numFmtId="0" fontId="18" fillId="13" borderId="0" applyNumberFormat="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9" fillId="1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70" fontId="13" fillId="0" borderId="0" applyFill="0" applyBorder="0" applyAlignment="0" applyProtection="0"/>
    <xf numFmtId="0" fontId="20" fillId="0" borderId="0" applyNumberFormat="0" applyFill="0" applyBorder="0" applyAlignment="0" applyProtection="0"/>
    <xf numFmtId="0" fontId="10" fillId="3" borderId="0" applyNumberFormat="0" applyBorder="0" applyAlignment="0" applyProtection="0"/>
    <xf numFmtId="0" fontId="7" fillId="0" borderId="0"/>
    <xf numFmtId="167" fontId="8" fillId="0" borderId="0" applyFont="0" applyFill="0" applyBorder="0" applyAlignment="0" applyProtection="0"/>
    <xf numFmtId="165" fontId="8" fillId="0" borderId="0" applyFont="0" applyFill="0" applyBorder="0" applyAlignment="0" applyProtection="0"/>
    <xf numFmtId="169" fontId="8" fillId="0" borderId="0" applyFont="0" applyFill="0" applyBorder="0" applyAlignment="0" applyProtection="0"/>
    <xf numFmtId="0" fontId="6" fillId="0" borderId="0"/>
    <xf numFmtId="165" fontId="6" fillId="0" borderId="0" applyFont="0" applyFill="0" applyBorder="0" applyAlignment="0" applyProtection="0"/>
    <xf numFmtId="0" fontId="5" fillId="0" borderId="0"/>
    <xf numFmtId="0" fontId="28" fillId="0" borderId="0"/>
    <xf numFmtId="0" fontId="29" fillId="0" borderId="0"/>
    <xf numFmtId="0" fontId="8" fillId="0" borderId="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18" borderId="0" applyNumberFormat="0" applyBorder="0" applyAlignment="0" applyProtection="0"/>
    <xf numFmtId="0" fontId="13" fillId="21" borderId="0" applyNumberFormat="0" applyBorder="0" applyAlignment="0" applyProtection="0"/>
    <xf numFmtId="0" fontId="13" fillId="24" borderId="0" applyNumberFormat="0" applyBorder="0" applyAlignment="0" applyProtection="0"/>
    <xf numFmtId="0" fontId="31" fillId="25"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32" borderId="0" applyNumberFormat="0" applyBorder="0" applyAlignment="0" applyProtection="0"/>
    <xf numFmtId="0" fontId="32" fillId="16" borderId="0" applyNumberFormat="0" applyBorder="0" applyAlignment="0" applyProtection="0"/>
    <xf numFmtId="0" fontId="33" fillId="33" borderId="10" applyNumberFormat="0" applyAlignment="0" applyProtection="0"/>
    <xf numFmtId="0" fontId="34" fillId="34" borderId="11" applyNumberFormat="0" applyAlignment="0" applyProtection="0"/>
    <xf numFmtId="43" fontId="8" fillId="0" borderId="0" applyFont="0" applyFill="0" applyBorder="0" applyAlignment="0" applyProtection="0"/>
    <xf numFmtId="0" fontId="35" fillId="0" borderId="0" applyNumberFormat="0" applyFill="0" applyBorder="0" applyAlignment="0" applyProtection="0"/>
    <xf numFmtId="0" fontId="36" fillId="17" borderId="0" applyNumberFormat="0" applyBorder="0" applyAlignment="0" applyProtection="0"/>
    <xf numFmtId="0" fontId="37" fillId="0" borderId="12" applyNumberFormat="0" applyFill="0" applyAlignment="0" applyProtection="0"/>
    <xf numFmtId="0" fontId="38" fillId="0" borderId="13" applyNumberFormat="0" applyFill="0" applyAlignment="0" applyProtection="0"/>
    <xf numFmtId="0" fontId="39" fillId="0" borderId="14" applyNumberFormat="0" applyFill="0" applyAlignment="0" applyProtection="0"/>
    <xf numFmtId="0" fontId="39" fillId="0" borderId="0" applyNumberFormat="0" applyFill="0" applyBorder="0" applyAlignment="0" applyProtection="0"/>
    <xf numFmtId="0" fontId="40" fillId="20" borderId="10" applyNumberFormat="0" applyAlignment="0" applyProtection="0"/>
    <xf numFmtId="0" fontId="41" fillId="0" borderId="15" applyNumberFormat="0" applyFill="0" applyAlignment="0" applyProtection="0"/>
    <xf numFmtId="0" fontId="42" fillId="35" borderId="0" applyNumberFormat="0" applyBorder="0" applyAlignment="0" applyProtection="0"/>
    <xf numFmtId="0" fontId="8" fillId="0" borderId="0"/>
    <xf numFmtId="0" fontId="30" fillId="0" borderId="0"/>
    <xf numFmtId="0" fontId="4" fillId="0" borderId="0"/>
    <xf numFmtId="0" fontId="4" fillId="0" borderId="0"/>
    <xf numFmtId="0" fontId="8" fillId="0" borderId="0"/>
    <xf numFmtId="0" fontId="30" fillId="36" borderId="16" applyNumberFormat="0" applyFont="0" applyAlignment="0" applyProtection="0"/>
    <xf numFmtId="0" fontId="43" fillId="33" borderId="17" applyNumberFormat="0" applyAlignment="0" applyProtection="0"/>
    <xf numFmtId="0" fontId="44" fillId="0" borderId="0" applyNumberFormat="0" applyFill="0" applyBorder="0" applyAlignment="0" applyProtection="0"/>
    <xf numFmtId="0" fontId="45" fillId="0" borderId="18" applyNumberFormat="0" applyFill="0" applyAlignment="0" applyProtection="0"/>
    <xf numFmtId="0" fontId="46" fillId="0" borderId="0" applyNumberFormat="0" applyFill="0" applyBorder="0" applyAlignment="0" applyProtection="0"/>
    <xf numFmtId="0" fontId="30" fillId="0" borderId="0"/>
    <xf numFmtId="43" fontId="13" fillId="0" borderId="0" applyFont="0" applyFill="0" applyBorder="0" applyAlignment="0" applyProtection="0"/>
    <xf numFmtId="0" fontId="8" fillId="0" borderId="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3" fillId="33" borderId="10"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4" fillId="34" borderId="11"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8" fillId="0" borderId="13"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14"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0" fillId="20" borderId="10" applyNumberFormat="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42" fillId="35"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47" fillId="0" borderId="0"/>
    <xf numFmtId="0" fontId="8" fillId="0" borderId="0"/>
    <xf numFmtId="0" fontId="8" fillId="0" borderId="0"/>
    <xf numFmtId="0" fontId="4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7" fillId="0" borderId="0"/>
    <xf numFmtId="0" fontId="47" fillId="0" borderId="0"/>
    <xf numFmtId="0" fontId="47" fillId="0" borderId="0"/>
    <xf numFmtId="0" fontId="47" fillId="0" borderId="0"/>
    <xf numFmtId="0" fontId="47" fillId="0" borderId="0"/>
    <xf numFmtId="0" fontId="47" fillId="0" borderId="0"/>
    <xf numFmtId="0" fontId="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30" fillId="36" borderId="16" applyNumberFormat="0" applyFon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3" fillId="33" borderId="17" applyNumberFormat="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 fillId="0" borderId="0"/>
    <xf numFmtId="0" fontId="30" fillId="0" borderId="0"/>
    <xf numFmtId="0" fontId="4" fillId="0" borderId="0"/>
    <xf numFmtId="0" fontId="49" fillId="0" borderId="0"/>
    <xf numFmtId="0" fontId="51" fillId="0" borderId="0"/>
    <xf numFmtId="0" fontId="3" fillId="0" borderId="0"/>
    <xf numFmtId="0" fontId="8" fillId="0" borderId="0"/>
    <xf numFmtId="0" fontId="3" fillId="0" borderId="0"/>
    <xf numFmtId="165" fontId="8" fillId="0" borderId="0" applyFont="0" applyFill="0" applyBorder="0" applyAlignment="0" applyProtection="0"/>
    <xf numFmtId="0" fontId="3" fillId="0" borderId="0"/>
    <xf numFmtId="165" fontId="8"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28" fillId="0" borderId="0"/>
    <xf numFmtId="0" fontId="28" fillId="0" borderId="0"/>
    <xf numFmtId="0" fontId="64" fillId="0" borderId="0"/>
    <xf numFmtId="0" fontId="2" fillId="0" borderId="0"/>
    <xf numFmtId="165" fontId="2" fillId="0" borderId="0" applyFont="0" applyFill="0" applyBorder="0" applyAlignment="0" applyProtection="0"/>
  </cellStyleXfs>
  <cellXfs count="908">
    <xf numFmtId="0" fontId="0" fillId="0" borderId="0" xfId="0"/>
    <xf numFmtId="0" fontId="25" fillId="2" borderId="1" xfId="0" applyFont="1" applyFill="1" applyBorder="1" applyAlignment="1">
      <alignment horizontal="center" vertical="center" wrapText="1"/>
    </xf>
    <xf numFmtId="0" fontId="26" fillId="0" borderId="0" xfId="0" applyFont="1"/>
    <xf numFmtId="0" fontId="26" fillId="0" borderId="1" xfId="0" applyFont="1" applyBorder="1"/>
    <xf numFmtId="0" fontId="26" fillId="0" borderId="1" xfId="0" applyFont="1" applyBorder="1" applyAlignment="1">
      <alignment horizontal="center" vertical="center"/>
    </xf>
    <xf numFmtId="166" fontId="26" fillId="4" borderId="1" xfId="0" applyNumberFormat="1" applyFont="1" applyFill="1" applyBorder="1" applyAlignment="1">
      <alignment horizontal="center" vertical="center"/>
    </xf>
    <xf numFmtId="0" fontId="26" fillId="4" borderId="1" xfId="0" applyFont="1" applyFill="1" applyBorder="1" applyAlignment="1">
      <alignment horizontal="center" vertical="center"/>
    </xf>
    <xf numFmtId="171" fontId="25" fillId="4" borderId="1" xfId="0" applyNumberFormat="1" applyFont="1" applyFill="1" applyBorder="1" applyAlignment="1">
      <alignment horizontal="center" vertical="center"/>
    </xf>
    <xf numFmtId="0" fontId="25" fillId="0" borderId="1" xfId="0" applyFont="1" applyBorder="1" applyAlignment="1">
      <alignment horizontal="center" vertical="center"/>
    </xf>
    <xf numFmtId="0" fontId="25" fillId="0" borderId="1" xfId="0" applyFont="1" applyBorder="1" applyAlignment="1">
      <alignment vertical="center"/>
    </xf>
    <xf numFmtId="14" fontId="25" fillId="4" borderId="1" xfId="0" applyNumberFormat="1" applyFont="1" applyFill="1" applyBorder="1" applyAlignment="1">
      <alignment horizontal="center" vertical="center"/>
    </xf>
    <xf numFmtId="0" fontId="25" fillId="4" borderId="1" xfId="0" applyFont="1" applyFill="1" applyBorder="1" applyAlignment="1">
      <alignment horizontal="center" vertical="center"/>
    </xf>
    <xf numFmtId="0" fontId="26" fillId="0" borderId="1" xfId="0" applyFont="1" applyBorder="1" applyAlignment="1">
      <alignment horizontal="center" vertical="center" wrapText="1"/>
    </xf>
    <xf numFmtId="165" fontId="26" fillId="4" borderId="1" xfId="4" applyFont="1" applyFill="1" applyBorder="1" applyAlignment="1">
      <alignment horizontal="center" vertical="center"/>
    </xf>
    <xf numFmtId="165" fontId="26" fillId="0" borderId="1" xfId="4" applyFont="1" applyBorder="1" applyAlignment="1">
      <alignment horizontal="center" vertical="center"/>
    </xf>
    <xf numFmtId="0" fontId="26" fillId="4" borderId="0" xfId="0" applyFont="1" applyFill="1"/>
    <xf numFmtId="0" fontId="25" fillId="4" borderId="1" xfId="0" applyFont="1" applyFill="1" applyBorder="1" applyAlignment="1">
      <alignment horizontal="left" vertical="center"/>
    </xf>
    <xf numFmtId="171" fontId="26" fillId="4" borderId="1" xfId="0" applyNumberFormat="1" applyFont="1" applyFill="1" applyBorder="1" applyAlignment="1">
      <alignment horizontal="center" vertical="center"/>
    </xf>
    <xf numFmtId="0" fontId="0" fillId="4" borderId="0" xfId="0" applyFill="1"/>
    <xf numFmtId="167" fontId="26" fillId="0" borderId="1" xfId="0" applyNumberFormat="1" applyFont="1" applyBorder="1" applyAlignment="1">
      <alignment horizontal="center" vertical="center"/>
    </xf>
    <xf numFmtId="171" fontId="27" fillId="4" borderId="1" xfId="0" applyNumberFormat="1" applyFont="1" applyFill="1" applyBorder="1" applyAlignment="1">
      <alignment horizontal="center" vertical="center"/>
    </xf>
    <xf numFmtId="0" fontId="25" fillId="5" borderId="1" xfId="0" applyFont="1" applyFill="1" applyBorder="1" applyAlignment="1">
      <alignment horizontal="left" vertical="center"/>
    </xf>
    <xf numFmtId="0" fontId="26" fillId="5" borderId="1" xfId="0" applyFont="1" applyFill="1" applyBorder="1" applyAlignment="1">
      <alignment horizontal="center" vertical="center"/>
    </xf>
    <xf numFmtId="166" fontId="26" fillId="5" borderId="1" xfId="0" applyNumberFormat="1" applyFont="1" applyFill="1" applyBorder="1" applyAlignment="1">
      <alignment horizontal="center" vertical="center"/>
    </xf>
    <xf numFmtId="0" fontId="25" fillId="5" borderId="1" xfId="0" applyFont="1" applyFill="1" applyBorder="1" applyAlignment="1">
      <alignment horizontal="center" vertical="center"/>
    </xf>
    <xf numFmtId="171" fontId="25" fillId="5" borderId="1" xfId="0" applyNumberFormat="1" applyFont="1" applyFill="1" applyBorder="1" applyAlignment="1">
      <alignment horizontal="center" vertical="center"/>
    </xf>
    <xf numFmtId="165" fontId="26" fillId="5" borderId="1" xfId="4" applyFont="1" applyFill="1" applyBorder="1" applyAlignment="1">
      <alignment horizontal="center" vertical="center"/>
    </xf>
    <xf numFmtId="167" fontId="25" fillId="5" borderId="1" xfId="0" applyNumberFormat="1" applyFont="1" applyFill="1" applyBorder="1" applyAlignment="1">
      <alignment horizontal="center" vertical="center"/>
    </xf>
    <xf numFmtId="171" fontId="26" fillId="5" borderId="1" xfId="0" applyNumberFormat="1" applyFont="1" applyFill="1" applyBorder="1" applyAlignment="1">
      <alignment horizontal="center" vertical="center"/>
    </xf>
    <xf numFmtId="172" fontId="25" fillId="5" borderId="1" xfId="4" applyNumberFormat="1" applyFont="1" applyFill="1" applyBorder="1" applyAlignment="1">
      <alignment horizontal="center" vertical="center"/>
    </xf>
    <xf numFmtId="0" fontId="26" fillId="5" borderId="0" xfId="0" applyFont="1" applyFill="1"/>
    <xf numFmtId="0" fontId="26" fillId="7" borderId="1" xfId="0" applyFont="1" applyFill="1" applyBorder="1" applyAlignment="1">
      <alignment horizontal="center" vertical="center"/>
    </xf>
    <xf numFmtId="166" fontId="26" fillId="7" borderId="1" xfId="0" applyNumberFormat="1" applyFont="1" applyFill="1" applyBorder="1" applyAlignment="1">
      <alignment horizontal="center" vertical="center"/>
    </xf>
    <xf numFmtId="0" fontId="25" fillId="7" borderId="1" xfId="0" applyFont="1" applyFill="1" applyBorder="1" applyAlignment="1">
      <alignment horizontal="center" vertical="center"/>
    </xf>
    <xf numFmtId="171" fontId="25" fillId="7" borderId="1" xfId="0" applyNumberFormat="1" applyFont="1" applyFill="1" applyBorder="1" applyAlignment="1">
      <alignment horizontal="center" vertical="center"/>
    </xf>
    <xf numFmtId="165" fontId="26" fillId="7" borderId="1" xfId="4" applyFont="1" applyFill="1" applyBorder="1" applyAlignment="1">
      <alignment horizontal="center" vertical="center"/>
    </xf>
    <xf numFmtId="167" fontId="25" fillId="4" borderId="1" xfId="0" applyNumberFormat="1" applyFont="1" applyFill="1" applyBorder="1" applyAlignment="1">
      <alignment horizontal="center" vertical="center"/>
    </xf>
    <xf numFmtId="0" fontId="26" fillId="0" borderId="1" xfId="0" applyFont="1" applyBorder="1" applyAlignment="1">
      <alignment horizontal="left"/>
    </xf>
    <xf numFmtId="0" fontId="26" fillId="4" borderId="1" xfId="0" applyFont="1" applyFill="1" applyBorder="1" applyAlignment="1">
      <alignment horizontal="left"/>
    </xf>
    <xf numFmtId="49" fontId="26" fillId="4" borderId="1" xfId="0" applyNumberFormat="1" applyFont="1" applyFill="1" applyBorder="1" applyAlignment="1">
      <alignment horizontal="left"/>
    </xf>
    <xf numFmtId="0" fontId="26" fillId="4" borderId="4" xfId="0" applyFont="1" applyFill="1" applyBorder="1"/>
    <xf numFmtId="167" fontId="26" fillId="4" borderId="1" xfId="0" applyNumberFormat="1" applyFont="1" applyFill="1" applyBorder="1" applyAlignment="1">
      <alignment horizontal="center" vertical="center"/>
    </xf>
    <xf numFmtId="171" fontId="26" fillId="7" borderId="1" xfId="0" applyNumberFormat="1" applyFont="1" applyFill="1" applyBorder="1" applyAlignment="1">
      <alignment horizontal="center" vertical="center"/>
    </xf>
    <xf numFmtId="0" fontId="26" fillId="4" borderId="1" xfId="0" applyFont="1" applyFill="1" applyBorder="1" applyAlignment="1">
      <alignment horizontal="left" vertical="center"/>
    </xf>
    <xf numFmtId="166" fontId="26" fillId="4" borderId="4" xfId="0" applyNumberFormat="1" applyFont="1" applyFill="1" applyBorder="1" applyAlignment="1">
      <alignment horizontal="center" vertical="center"/>
    </xf>
    <xf numFmtId="0" fontId="26" fillId="4" borderId="4" xfId="0" applyFont="1" applyFill="1" applyBorder="1" applyAlignment="1">
      <alignment horizontal="center" vertical="center"/>
    </xf>
    <xf numFmtId="171" fontId="26" fillId="4" borderId="4" xfId="0" applyNumberFormat="1" applyFont="1" applyFill="1" applyBorder="1" applyAlignment="1">
      <alignment horizontal="center" vertical="center"/>
    </xf>
    <xf numFmtId="0" fontId="25" fillId="4" borderId="4" xfId="0" applyFont="1" applyFill="1" applyBorder="1" applyAlignment="1">
      <alignment horizontal="center" vertical="center"/>
    </xf>
    <xf numFmtId="0" fontId="26" fillId="4" borderId="4" xfId="0" applyFont="1" applyFill="1" applyBorder="1" applyAlignment="1">
      <alignment horizontal="left"/>
    </xf>
    <xf numFmtId="167" fontId="25" fillId="7" borderId="1" xfId="0" applyNumberFormat="1" applyFont="1" applyFill="1" applyBorder="1" applyAlignment="1">
      <alignment horizontal="center" vertical="center"/>
    </xf>
    <xf numFmtId="172" fontId="25" fillId="7" borderId="1" xfId="4" applyNumberFormat="1" applyFont="1" applyFill="1" applyBorder="1" applyAlignment="1">
      <alignment horizontal="center" vertical="center"/>
    </xf>
    <xf numFmtId="0" fontId="25" fillId="7" borderId="4" xfId="0" applyFont="1" applyFill="1" applyBorder="1" applyAlignment="1">
      <alignment horizontal="center" vertical="center"/>
    </xf>
    <xf numFmtId="0" fontId="26" fillId="5" borderId="4" xfId="0" applyFont="1" applyFill="1" applyBorder="1" applyAlignment="1">
      <alignment horizontal="center" vertical="center"/>
    </xf>
    <xf numFmtId="0" fontId="26" fillId="7" borderId="4" xfId="0" applyFont="1" applyFill="1" applyBorder="1" applyAlignment="1">
      <alignment horizontal="center" vertical="center"/>
    </xf>
    <xf numFmtId="171" fontId="25" fillId="7" borderId="4" xfId="0" applyNumberFormat="1" applyFont="1" applyFill="1" applyBorder="1" applyAlignment="1">
      <alignment horizontal="center" vertical="center"/>
    </xf>
    <xf numFmtId="0" fontId="25" fillId="5" borderId="4" xfId="0" applyFont="1" applyFill="1" applyBorder="1" applyAlignment="1">
      <alignment horizontal="center" vertical="center"/>
    </xf>
    <xf numFmtId="171" fontId="25" fillId="5" borderId="4" xfId="0" applyNumberFormat="1" applyFont="1" applyFill="1" applyBorder="1" applyAlignment="1">
      <alignment horizontal="center" vertical="center"/>
    </xf>
    <xf numFmtId="0" fontId="25" fillId="2" borderId="8" xfId="0" applyFont="1" applyFill="1" applyBorder="1" applyAlignment="1">
      <alignment horizontal="left" vertical="center"/>
    </xf>
    <xf numFmtId="0" fontId="25" fillId="2" borderId="4" xfId="0" applyFont="1" applyFill="1" applyBorder="1" applyAlignment="1">
      <alignment horizontal="center" vertical="center"/>
    </xf>
    <xf numFmtId="0" fontId="25" fillId="2" borderId="4" xfId="0" applyFont="1" applyFill="1" applyBorder="1" applyAlignment="1">
      <alignment horizontal="center" vertical="center" wrapText="1"/>
    </xf>
    <xf numFmtId="0" fontId="25" fillId="2" borderId="9" xfId="0" applyFont="1" applyFill="1" applyBorder="1" applyAlignment="1">
      <alignment horizontal="center" vertical="center" wrapText="1"/>
    </xf>
    <xf numFmtId="2" fontId="25" fillId="2" borderId="9" xfId="0" applyNumberFormat="1" applyFont="1" applyFill="1" applyBorder="1" applyAlignment="1">
      <alignment horizontal="center" vertical="center"/>
    </xf>
    <xf numFmtId="172" fontId="52" fillId="7" borderId="1" xfId="4" applyNumberFormat="1" applyFont="1" applyFill="1" applyBorder="1" applyAlignment="1">
      <alignment horizontal="center" vertical="center"/>
    </xf>
    <xf numFmtId="0" fontId="25" fillId="6" borderId="1" xfId="0" applyFont="1" applyFill="1" applyBorder="1" applyAlignment="1">
      <alignment horizontal="center" vertical="center"/>
    </xf>
    <xf numFmtId="171" fontId="25" fillId="4" borderId="5" xfId="0" applyNumberFormat="1" applyFont="1" applyFill="1" applyBorder="1" applyAlignment="1">
      <alignment horizontal="center" vertical="center"/>
    </xf>
    <xf numFmtId="171" fontId="25" fillId="4" borderId="4" xfId="0" applyNumberFormat="1" applyFont="1" applyFill="1" applyBorder="1" applyAlignment="1">
      <alignment horizontal="center" vertical="center"/>
    </xf>
    <xf numFmtId="0" fontId="53" fillId="4" borderId="1" xfId="0" applyFont="1" applyFill="1" applyBorder="1" applyAlignment="1">
      <alignment vertical="center"/>
    </xf>
    <xf numFmtId="0" fontId="54" fillId="4" borderId="1" xfId="0" applyFont="1" applyFill="1" applyBorder="1" applyAlignment="1">
      <alignment horizontal="center" vertical="center"/>
    </xf>
    <xf numFmtId="166" fontId="54" fillId="4" borderId="1" xfId="0" applyNumberFormat="1" applyFont="1" applyFill="1" applyBorder="1" applyAlignment="1">
      <alignment horizontal="center" vertical="center"/>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xf>
    <xf numFmtId="171" fontId="53" fillId="4" borderId="1" xfId="0" applyNumberFormat="1" applyFont="1" applyFill="1" applyBorder="1" applyAlignment="1">
      <alignment horizontal="center" vertical="center"/>
    </xf>
    <xf numFmtId="0" fontId="53" fillId="38" borderId="1" xfId="0" applyFont="1" applyFill="1" applyBorder="1" applyAlignment="1">
      <alignment horizontal="center" vertical="center"/>
    </xf>
    <xf numFmtId="0" fontId="54" fillId="38" borderId="1" xfId="0" applyFont="1" applyFill="1" applyBorder="1" applyAlignment="1">
      <alignment horizontal="center" vertical="center"/>
    </xf>
    <xf numFmtId="165" fontId="54" fillId="4" borderId="1" xfId="4" applyFont="1" applyFill="1" applyBorder="1" applyAlignment="1">
      <alignment horizontal="center" vertical="center"/>
    </xf>
    <xf numFmtId="167" fontId="54" fillId="4" borderId="1" xfId="0" applyNumberFormat="1" applyFont="1" applyFill="1" applyBorder="1" applyAlignment="1">
      <alignment horizontal="center" vertical="center"/>
    </xf>
    <xf numFmtId="14" fontId="53" fillId="4" borderId="1" xfId="0" applyNumberFormat="1" applyFont="1" applyFill="1" applyBorder="1" applyAlignment="1">
      <alignment horizontal="center" vertical="center"/>
    </xf>
    <xf numFmtId="172" fontId="55" fillId="4" borderId="1" xfId="0" applyNumberFormat="1" applyFont="1" applyFill="1" applyBorder="1" applyAlignment="1">
      <alignment horizontal="center" vertical="center"/>
    </xf>
    <xf numFmtId="0" fontId="53" fillId="6" borderId="1" xfId="0" applyFont="1" applyFill="1" applyBorder="1" applyAlignment="1">
      <alignment horizontal="center" vertical="center"/>
    </xf>
    <xf numFmtId="0" fontId="26" fillId="4" borderId="1" xfId="0" applyFont="1" applyFill="1" applyBorder="1" applyAlignment="1">
      <alignment wrapText="1"/>
    </xf>
    <xf numFmtId="0" fontId="25" fillId="4" borderId="2" xfId="0" applyFont="1" applyFill="1" applyBorder="1" applyAlignment="1">
      <alignment vertical="center"/>
    </xf>
    <xf numFmtId="165" fontId="26" fillId="4" borderId="1" xfId="4" applyFont="1" applyFill="1" applyBorder="1" applyAlignment="1">
      <alignment horizontal="left" vertical="center"/>
    </xf>
    <xf numFmtId="168" fontId="52" fillId="4" borderId="1" xfId="0" applyNumberFormat="1" applyFont="1" applyFill="1" applyBorder="1" applyAlignment="1">
      <alignment horizontal="center" vertical="center"/>
    </xf>
    <xf numFmtId="0" fontId="25" fillId="0" borderId="7" xfId="0" applyFont="1" applyBorder="1" applyAlignment="1">
      <alignment horizontal="center" vertical="center"/>
    </xf>
    <xf numFmtId="171" fontId="25" fillId="6" borderId="1" xfId="0" applyNumberFormat="1" applyFont="1" applyFill="1" applyBorder="1" applyAlignment="1">
      <alignment horizontal="center" vertical="center"/>
    </xf>
    <xf numFmtId="171" fontId="25" fillId="0" borderId="1" xfId="0" applyNumberFormat="1" applyFont="1" applyBorder="1" applyAlignment="1">
      <alignment horizontal="center" vertical="center"/>
    </xf>
    <xf numFmtId="0" fontId="53" fillId="5" borderId="1" xfId="0" applyFont="1" applyFill="1" applyBorder="1" applyAlignment="1">
      <alignment horizontal="left" vertical="center"/>
    </xf>
    <xf numFmtId="0" fontId="54" fillId="5" borderId="1" xfId="0" applyFont="1" applyFill="1" applyBorder="1" applyAlignment="1">
      <alignment horizontal="center" vertical="center"/>
    </xf>
    <xf numFmtId="166" fontId="54" fillId="5" borderId="1" xfId="0" applyNumberFormat="1" applyFont="1" applyFill="1" applyBorder="1" applyAlignment="1">
      <alignment horizontal="center" vertical="center"/>
    </xf>
    <xf numFmtId="166" fontId="54" fillId="5" borderId="1" xfId="0" applyNumberFormat="1" applyFont="1" applyFill="1" applyBorder="1" applyAlignment="1">
      <alignment horizontal="center" vertical="center" wrapText="1"/>
    </xf>
    <xf numFmtId="0" fontId="53" fillId="5" borderId="1" xfId="0" applyFont="1" applyFill="1" applyBorder="1" applyAlignment="1">
      <alignment horizontal="center" vertical="center"/>
    </xf>
    <xf numFmtId="171" fontId="53" fillId="5" borderId="1" xfId="0" applyNumberFormat="1" applyFont="1" applyFill="1" applyBorder="1" applyAlignment="1">
      <alignment horizontal="center" vertical="center"/>
    </xf>
    <xf numFmtId="165" fontId="54" fillId="5" borderId="1" xfId="4" applyFont="1" applyFill="1" applyBorder="1" applyAlignment="1">
      <alignment horizontal="center" vertical="center"/>
    </xf>
    <xf numFmtId="167" fontId="54" fillId="5" borderId="1" xfId="0" applyNumberFormat="1" applyFont="1" applyFill="1" applyBorder="1" applyAlignment="1">
      <alignment horizontal="center" vertical="center"/>
    </xf>
    <xf numFmtId="171" fontId="54" fillId="5" borderId="1" xfId="0" applyNumberFormat="1" applyFont="1" applyFill="1" applyBorder="1" applyAlignment="1">
      <alignment horizontal="center" vertical="center"/>
    </xf>
    <xf numFmtId="172" fontId="53" fillId="5" borderId="1" xfId="0" applyNumberFormat="1" applyFont="1" applyFill="1" applyBorder="1" applyAlignment="1">
      <alignment horizontal="center" vertical="center"/>
    </xf>
    <xf numFmtId="0" fontId="54" fillId="4" borderId="1" xfId="0" applyFont="1" applyFill="1" applyBorder="1" applyAlignment="1">
      <alignment wrapText="1"/>
    </xf>
    <xf numFmtId="0" fontId="53" fillId="37" borderId="1" xfId="0" applyFont="1" applyFill="1" applyBorder="1" applyAlignment="1">
      <alignment vertical="center"/>
    </xf>
    <xf numFmtId="0" fontId="54" fillId="37" borderId="1" xfId="0" applyFont="1" applyFill="1" applyBorder="1" applyAlignment="1">
      <alignment horizontal="center" vertical="center"/>
    </xf>
    <xf numFmtId="166" fontId="54" fillId="7" borderId="1" xfId="0" applyNumberFormat="1" applyFont="1" applyFill="1" applyBorder="1" applyAlignment="1">
      <alignment horizontal="center" vertical="center"/>
    </xf>
    <xf numFmtId="0" fontId="54" fillId="7" borderId="1" xfId="0" applyFont="1" applyFill="1" applyBorder="1" applyAlignment="1">
      <alignment horizontal="center" vertical="center"/>
    </xf>
    <xf numFmtId="0" fontId="54" fillId="37" borderId="1" xfId="0" applyFont="1" applyFill="1" applyBorder="1" applyAlignment="1">
      <alignment horizontal="center" vertical="center" wrapText="1"/>
    </xf>
    <xf numFmtId="171" fontId="53" fillId="7" borderId="1" xfId="0" applyNumberFormat="1" applyFont="1" applyFill="1" applyBorder="1" applyAlignment="1">
      <alignment horizontal="center" vertical="center"/>
    </xf>
    <xf numFmtId="0" fontId="53" fillId="37" borderId="1" xfId="0" applyFont="1" applyFill="1" applyBorder="1" applyAlignment="1">
      <alignment horizontal="center" vertical="center"/>
    </xf>
    <xf numFmtId="165" fontId="54" fillId="37" borderId="1" xfId="0" applyNumberFormat="1" applyFont="1" applyFill="1" applyBorder="1" applyAlignment="1">
      <alignment horizontal="center" vertical="center"/>
    </xf>
    <xf numFmtId="165" fontId="54" fillId="37" borderId="1" xfId="4" applyFont="1" applyFill="1" applyBorder="1" applyAlignment="1">
      <alignment horizontal="center" vertical="center"/>
    </xf>
    <xf numFmtId="167" fontId="54" fillId="37" borderId="1" xfId="0" applyNumberFormat="1" applyFont="1" applyFill="1" applyBorder="1" applyAlignment="1">
      <alignment horizontal="center" vertical="center"/>
    </xf>
    <xf numFmtId="14" fontId="53" fillId="7" borderId="1" xfId="0" applyNumberFormat="1" applyFont="1" applyFill="1" applyBorder="1" applyAlignment="1">
      <alignment horizontal="center" vertical="center"/>
    </xf>
    <xf numFmtId="0" fontId="53" fillId="7" borderId="1" xfId="0" applyFont="1" applyFill="1" applyBorder="1" applyAlignment="1">
      <alignment horizontal="center" vertical="center"/>
    </xf>
    <xf numFmtId="0" fontId="27" fillId="5" borderId="1" xfId="0" applyFont="1" applyFill="1" applyBorder="1" applyAlignment="1">
      <alignment horizontal="left" vertical="center"/>
    </xf>
    <xf numFmtId="165" fontId="54" fillId="5" borderId="1" xfId="25" applyFont="1" applyFill="1" applyBorder="1" applyAlignment="1">
      <alignment horizontal="center" vertical="center"/>
    </xf>
    <xf numFmtId="172" fontId="53" fillId="5" borderId="1" xfId="25" applyNumberFormat="1" applyFont="1" applyFill="1" applyBorder="1" applyAlignment="1">
      <alignment horizontal="center" vertical="center"/>
    </xf>
    <xf numFmtId="171" fontId="25" fillId="4" borderId="2" xfId="0" applyNumberFormat="1" applyFont="1" applyFill="1" applyBorder="1" applyAlignment="1">
      <alignment horizontal="center" vertical="center"/>
    </xf>
    <xf numFmtId="0" fontId="27" fillId="4" borderId="1" xfId="0" applyFont="1" applyFill="1" applyBorder="1" applyAlignment="1">
      <alignment vertical="center"/>
    </xf>
    <xf numFmtId="172" fontId="55" fillId="4" borderId="1" xfId="4" applyNumberFormat="1" applyFont="1" applyFill="1" applyBorder="1" applyAlignment="1">
      <alignment horizontal="center" vertical="center"/>
    </xf>
    <xf numFmtId="0" fontId="27" fillId="38" borderId="1" xfId="0" applyFont="1" applyFill="1" applyBorder="1" applyAlignment="1">
      <alignment vertical="center"/>
    </xf>
    <xf numFmtId="0" fontId="26" fillId="4" borderId="1" xfId="0" applyFont="1" applyFill="1" applyBorder="1" applyAlignment="1">
      <alignment horizontal="center" vertical="center" wrapText="1"/>
    </xf>
    <xf numFmtId="0" fontId="54" fillId="38" borderId="1" xfId="0" applyFont="1" applyFill="1" applyBorder="1" applyAlignment="1">
      <alignment horizontal="center" vertical="center" wrapText="1"/>
    </xf>
    <xf numFmtId="165" fontId="54" fillId="38" borderId="1" xfId="4" applyFont="1" applyFill="1" applyBorder="1" applyAlignment="1">
      <alignment horizontal="center" vertical="center"/>
    </xf>
    <xf numFmtId="167" fontId="54" fillId="38" borderId="1" xfId="0" applyNumberFormat="1" applyFont="1" applyFill="1" applyBorder="1" applyAlignment="1">
      <alignment horizontal="center" vertical="center"/>
    </xf>
    <xf numFmtId="0" fontId="25" fillId="4" borderId="1" xfId="0" applyFont="1" applyFill="1" applyBorder="1" applyAlignment="1">
      <alignment vertical="center"/>
    </xf>
    <xf numFmtId="0" fontId="53" fillId="38" borderId="1" xfId="0" applyFont="1" applyFill="1" applyBorder="1" applyAlignment="1">
      <alignment vertical="center"/>
    </xf>
    <xf numFmtId="165" fontId="54" fillId="7" borderId="1" xfId="4" applyFont="1" applyFill="1" applyBorder="1" applyAlignment="1">
      <alignment horizontal="center" vertical="center"/>
    </xf>
    <xf numFmtId="167" fontId="54" fillId="7" borderId="1" xfId="0" applyNumberFormat="1" applyFont="1" applyFill="1" applyBorder="1" applyAlignment="1">
      <alignment horizontal="center" vertical="center"/>
    </xf>
    <xf numFmtId="0" fontId="27" fillId="7" borderId="1" xfId="0" applyFont="1" applyFill="1" applyBorder="1" applyAlignment="1">
      <alignment vertical="center"/>
    </xf>
    <xf numFmtId="0" fontId="54" fillId="7" borderId="1" xfId="0" applyFont="1" applyFill="1" applyBorder="1" applyAlignment="1">
      <alignment horizontal="center" vertical="center" wrapText="1"/>
    </xf>
    <xf numFmtId="171" fontId="54" fillId="7" borderId="1" xfId="0" applyNumberFormat="1" applyFont="1" applyFill="1" applyBorder="1" applyAlignment="1">
      <alignment horizontal="center" vertical="center"/>
    </xf>
    <xf numFmtId="0" fontId="25" fillId="38" borderId="1" xfId="0" applyFont="1" applyFill="1" applyBorder="1" applyAlignment="1">
      <alignment horizontal="center" vertical="center"/>
    </xf>
    <xf numFmtId="0" fontId="54" fillId="38" borderId="1" xfId="0" applyFont="1" applyFill="1" applyBorder="1" applyAlignment="1">
      <alignment wrapText="1"/>
    </xf>
    <xf numFmtId="0" fontId="54" fillId="0" borderId="1" xfId="0" applyFont="1" applyBorder="1" applyAlignment="1">
      <alignment horizontal="center" vertical="center"/>
    </xf>
    <xf numFmtId="0" fontId="26" fillId="38" borderId="1" xfId="0" applyFont="1" applyFill="1" applyBorder="1" applyAlignment="1">
      <alignment horizontal="center" vertical="center"/>
    </xf>
    <xf numFmtId="165" fontId="26" fillId="38" borderId="1" xfId="4" applyFont="1" applyFill="1" applyBorder="1" applyAlignment="1">
      <alignment horizontal="center" vertical="center"/>
    </xf>
    <xf numFmtId="167" fontId="26" fillId="38" borderId="1" xfId="0" applyNumberFormat="1" applyFont="1" applyFill="1" applyBorder="1" applyAlignment="1">
      <alignment horizontal="center" vertical="center"/>
    </xf>
    <xf numFmtId="0" fontId="54" fillId="38" borderId="5" xfId="0" applyFont="1" applyFill="1" applyBorder="1" applyAlignment="1">
      <alignment horizontal="center" vertical="center"/>
    </xf>
    <xf numFmtId="166" fontId="54" fillId="4" borderId="5" xfId="0" applyNumberFormat="1" applyFont="1" applyFill="1" applyBorder="1" applyAlignment="1">
      <alignment horizontal="center" vertical="center"/>
    </xf>
    <xf numFmtId="0" fontId="54" fillId="4" borderId="5" xfId="0" applyFont="1" applyFill="1" applyBorder="1" applyAlignment="1">
      <alignment horizontal="center" vertical="center"/>
    </xf>
    <xf numFmtId="0" fontId="25" fillId="38" borderId="5" xfId="0" applyFont="1" applyFill="1" applyBorder="1" applyAlignment="1">
      <alignment horizontal="center" vertical="center"/>
    </xf>
    <xf numFmtId="14" fontId="25" fillId="4" borderId="5" xfId="0" applyNumberFormat="1" applyFont="1" applyFill="1" applyBorder="1" applyAlignment="1">
      <alignment horizontal="center" vertical="center"/>
    </xf>
    <xf numFmtId="0" fontId="53" fillId="4" borderId="5" xfId="0" applyFont="1" applyFill="1" applyBorder="1" applyAlignment="1">
      <alignment horizontal="center" vertical="center"/>
    </xf>
    <xf numFmtId="166" fontId="54" fillId="4" borderId="20" xfId="0" applyNumberFormat="1" applyFont="1" applyFill="1" applyBorder="1" applyAlignment="1">
      <alignment horizontal="center" vertical="center"/>
    </xf>
    <xf numFmtId="0" fontId="54" fillId="38" borderId="20" xfId="0" applyFont="1" applyFill="1" applyBorder="1" applyAlignment="1">
      <alignment horizontal="center" vertical="center" wrapText="1"/>
    </xf>
    <xf numFmtId="0" fontId="54" fillId="4" borderId="19" xfId="0" applyFont="1" applyFill="1" applyBorder="1" applyAlignment="1">
      <alignment horizontal="center" vertical="center"/>
    </xf>
    <xf numFmtId="171" fontId="53" fillId="4" borderId="5" xfId="0" applyNumberFormat="1" applyFont="1" applyFill="1" applyBorder="1" applyAlignment="1">
      <alignment horizontal="center" vertical="center"/>
    </xf>
    <xf numFmtId="0" fontId="53" fillId="6" borderId="20" xfId="0" applyFont="1" applyFill="1" applyBorder="1" applyAlignment="1">
      <alignment horizontal="center" vertical="center"/>
    </xf>
    <xf numFmtId="0" fontId="54" fillId="38" borderId="4" xfId="0" applyFont="1" applyFill="1" applyBorder="1" applyAlignment="1">
      <alignment horizontal="center" vertical="center"/>
    </xf>
    <xf numFmtId="166" fontId="54" fillId="4" borderId="3" xfId="0" applyNumberFormat="1" applyFont="1" applyFill="1" applyBorder="1" applyAlignment="1">
      <alignment horizontal="center" vertical="center"/>
    </xf>
    <xf numFmtId="0" fontId="54" fillId="4" borderId="4" xfId="0" applyFont="1" applyFill="1" applyBorder="1" applyAlignment="1">
      <alignment horizontal="center" vertical="center"/>
    </xf>
    <xf numFmtId="0" fontId="54" fillId="38" borderId="3" xfId="0" applyFont="1" applyFill="1" applyBorder="1" applyAlignment="1">
      <alignment horizontal="center" vertical="center" wrapText="1"/>
    </xf>
    <xf numFmtId="171" fontId="53" fillId="4" borderId="4" xfId="0" applyNumberFormat="1" applyFont="1" applyFill="1" applyBorder="1" applyAlignment="1">
      <alignment horizontal="center" vertical="center"/>
    </xf>
    <xf numFmtId="14" fontId="25" fillId="4" borderId="4" xfId="0" applyNumberFormat="1" applyFont="1" applyFill="1" applyBorder="1" applyAlignment="1">
      <alignment horizontal="center" vertical="center"/>
    </xf>
    <xf numFmtId="0" fontId="53" fillId="4" borderId="4" xfId="0" applyFont="1" applyFill="1" applyBorder="1" applyAlignment="1">
      <alignment horizontal="center" vertical="center"/>
    </xf>
    <xf numFmtId="0" fontId="53" fillId="6" borderId="3" xfId="0" applyFont="1" applyFill="1" applyBorder="1" applyAlignment="1">
      <alignment horizontal="center" vertical="center"/>
    </xf>
    <xf numFmtId="0" fontId="27" fillId="4" borderId="4" xfId="0" applyFont="1" applyFill="1" applyBorder="1" applyAlignment="1">
      <alignment vertical="center"/>
    </xf>
    <xf numFmtId="0" fontId="26" fillId="4" borderId="4" xfId="0" applyFont="1" applyFill="1" applyBorder="1" applyAlignment="1">
      <alignment horizontal="center" vertical="center" wrapText="1"/>
    </xf>
    <xf numFmtId="167" fontId="26" fillId="4" borderId="4" xfId="0" applyNumberFormat="1" applyFont="1" applyFill="1" applyBorder="1" applyAlignment="1">
      <alignment horizontal="center" vertical="center"/>
    </xf>
    <xf numFmtId="0" fontId="25" fillId="6" borderId="3" xfId="0" applyFont="1" applyFill="1" applyBorder="1" applyAlignment="1">
      <alignment horizontal="center" vertical="center"/>
    </xf>
    <xf numFmtId="167" fontId="26" fillId="4" borderId="5" xfId="0" applyNumberFormat="1" applyFont="1" applyFill="1" applyBorder="1" applyAlignment="1">
      <alignment horizontal="center" vertical="center"/>
    </xf>
    <xf numFmtId="171" fontId="53" fillId="38" borderId="1" xfId="0" applyNumberFormat="1" applyFont="1" applyFill="1" applyBorder="1" applyAlignment="1">
      <alignment horizontal="center" vertical="center"/>
    </xf>
    <xf numFmtId="171" fontId="25" fillId="38" borderId="1" xfId="0" applyNumberFormat="1" applyFont="1" applyFill="1" applyBorder="1" applyAlignment="1">
      <alignment horizontal="center" vertical="center"/>
    </xf>
    <xf numFmtId="0" fontId="26" fillId="0" borderId="1" xfId="0" applyFont="1" applyBorder="1" applyAlignment="1">
      <alignment horizontal="center"/>
    </xf>
    <xf numFmtId="171" fontId="53" fillId="37" borderId="1" xfId="0" applyNumberFormat="1" applyFont="1" applyFill="1" applyBorder="1" applyAlignment="1">
      <alignment horizontal="center" vertical="center"/>
    </xf>
    <xf numFmtId="167" fontId="25" fillId="4" borderId="4" xfId="0" applyNumberFormat="1" applyFont="1" applyFill="1" applyBorder="1" applyAlignment="1">
      <alignment horizontal="center" vertical="center"/>
    </xf>
    <xf numFmtId="0" fontId="25" fillId="0" borderId="1" xfId="0" applyFont="1" applyBorder="1" applyAlignment="1">
      <alignment horizontal="center"/>
    </xf>
    <xf numFmtId="0" fontId="27" fillId="38" borderId="4" xfId="0" applyFont="1" applyFill="1" applyBorder="1" applyAlignment="1">
      <alignment vertical="center"/>
    </xf>
    <xf numFmtId="166" fontId="54" fillId="4" borderId="4" xfId="0" applyNumberFormat="1" applyFont="1" applyFill="1" applyBorder="1" applyAlignment="1">
      <alignment horizontal="center" vertical="center"/>
    </xf>
    <xf numFmtId="0" fontId="26" fillId="0" borderId="4" xfId="0" applyFont="1" applyBorder="1" applyAlignment="1">
      <alignment horizontal="center" vertical="center"/>
    </xf>
    <xf numFmtId="0" fontId="27" fillId="38" borderId="5" xfId="0" applyFont="1" applyFill="1" applyBorder="1" applyAlignment="1">
      <alignment vertical="center"/>
    </xf>
    <xf numFmtId="0" fontId="26" fillId="4" borderId="5" xfId="0" applyFont="1" applyFill="1" applyBorder="1" applyAlignment="1">
      <alignment horizontal="center" vertical="center"/>
    </xf>
    <xf numFmtId="166" fontId="26" fillId="4" borderId="5" xfId="0" applyNumberFormat="1" applyFont="1" applyFill="1" applyBorder="1" applyAlignment="1">
      <alignment horizontal="center" vertical="center"/>
    </xf>
    <xf numFmtId="0" fontId="26" fillId="0" borderId="5" xfId="0" applyFont="1" applyBorder="1" applyAlignment="1">
      <alignment horizontal="center" vertical="center"/>
    </xf>
    <xf numFmtId="0" fontId="54" fillId="38" borderId="4" xfId="0" applyFont="1" applyFill="1" applyBorder="1" applyAlignment="1">
      <alignment horizontal="center" vertical="center" wrapText="1"/>
    </xf>
    <xf numFmtId="0" fontId="25" fillId="4" borderId="5" xfId="0" applyFont="1" applyFill="1" applyBorder="1" applyAlignment="1">
      <alignment horizontal="center" vertical="center"/>
    </xf>
    <xf numFmtId="0" fontId="53" fillId="38" borderId="4" xfId="0" applyFont="1" applyFill="1" applyBorder="1" applyAlignment="1">
      <alignment horizontal="center" vertical="center"/>
    </xf>
    <xf numFmtId="0" fontId="53" fillId="38" borderId="5" xfId="0" applyFont="1" applyFill="1" applyBorder="1" applyAlignment="1">
      <alignment horizontal="center" vertical="center"/>
    </xf>
    <xf numFmtId="165" fontId="54" fillId="38" borderId="4" xfId="4" applyFont="1" applyFill="1" applyBorder="1" applyAlignment="1">
      <alignment horizontal="center" vertical="center"/>
    </xf>
    <xf numFmtId="167" fontId="54" fillId="38" borderId="4" xfId="0" applyNumberFormat="1" applyFont="1" applyFill="1" applyBorder="1" applyAlignment="1">
      <alignment horizontal="center" vertical="center"/>
    </xf>
    <xf numFmtId="171" fontId="53" fillId="38" borderId="4" xfId="0" applyNumberFormat="1" applyFont="1" applyFill="1" applyBorder="1" applyAlignment="1">
      <alignment horizontal="center" vertical="center"/>
    </xf>
    <xf numFmtId="165" fontId="26" fillId="4" borderId="5" xfId="4" applyFont="1" applyFill="1" applyBorder="1" applyAlignment="1">
      <alignment horizontal="center" vertical="center"/>
    </xf>
    <xf numFmtId="167" fontId="25" fillId="4" borderId="5" xfId="0" applyNumberFormat="1" applyFont="1" applyFill="1" applyBorder="1" applyAlignment="1">
      <alignment horizontal="center" vertical="center"/>
    </xf>
    <xf numFmtId="171" fontId="26" fillId="4" borderId="5" xfId="0" applyNumberFormat="1" applyFont="1" applyFill="1" applyBorder="1" applyAlignment="1">
      <alignment horizontal="center" vertical="center"/>
    </xf>
    <xf numFmtId="0" fontId="54" fillId="4" borderId="4" xfId="0" applyFont="1" applyFill="1" applyBorder="1" applyAlignment="1">
      <alignment wrapText="1"/>
    </xf>
    <xf numFmtId="0" fontId="26" fillId="4" borderId="5" xfId="0" applyFont="1" applyFill="1" applyBorder="1" applyAlignment="1">
      <alignment horizontal="left"/>
    </xf>
    <xf numFmtId="49" fontId="26" fillId="4" borderId="1" xfId="0" applyNumberFormat="1" applyFont="1" applyFill="1" applyBorder="1" applyAlignment="1">
      <alignment horizontal="center" vertical="center"/>
    </xf>
    <xf numFmtId="0" fontId="25" fillId="38" borderId="22" xfId="0" applyFont="1" applyFill="1" applyBorder="1" applyAlignment="1">
      <alignment horizontal="center" vertical="center"/>
    </xf>
    <xf numFmtId="167" fontId="26" fillId="4" borderId="22" xfId="0" applyNumberFormat="1" applyFont="1" applyFill="1" applyBorder="1" applyAlignment="1">
      <alignment horizontal="center" vertical="center"/>
    </xf>
    <xf numFmtId="171" fontId="25" fillId="4" borderId="22" xfId="0" applyNumberFormat="1" applyFont="1" applyFill="1" applyBorder="1" applyAlignment="1">
      <alignment horizontal="center" vertical="center"/>
    </xf>
    <xf numFmtId="0" fontId="54" fillId="4" borderId="21" xfId="0" applyFont="1" applyFill="1" applyBorder="1" applyAlignment="1">
      <alignment horizontal="center" vertical="center"/>
    </xf>
    <xf numFmtId="0" fontId="26" fillId="4" borderId="22" xfId="0" applyFont="1" applyFill="1" applyBorder="1" applyAlignment="1">
      <alignment horizontal="center" vertical="center"/>
    </xf>
    <xf numFmtId="165" fontId="26" fillId="4" borderId="22" xfId="4" applyFont="1" applyFill="1" applyBorder="1" applyAlignment="1">
      <alignment horizontal="center" vertical="center"/>
    </xf>
    <xf numFmtId="171" fontId="26" fillId="4" borderId="8" xfId="0" applyNumberFormat="1" applyFont="1" applyFill="1" applyBorder="1" applyAlignment="1">
      <alignment horizontal="center" vertical="center"/>
    </xf>
    <xf numFmtId="165" fontId="54" fillId="38" borderId="5" xfId="4" applyFont="1" applyFill="1" applyBorder="1" applyAlignment="1">
      <alignment horizontal="center" vertical="center"/>
    </xf>
    <xf numFmtId="167" fontId="54" fillId="38" borderId="5" xfId="0" applyNumberFormat="1" applyFont="1" applyFill="1" applyBorder="1" applyAlignment="1">
      <alignment horizontal="center" vertical="center"/>
    </xf>
    <xf numFmtId="167" fontId="53" fillId="7" borderId="1" xfId="0" applyNumberFormat="1" applyFont="1" applyFill="1" applyBorder="1" applyAlignment="1">
      <alignment horizontal="center" vertical="center"/>
    </xf>
    <xf numFmtId="166" fontId="26" fillId="4" borderId="22" xfId="0" applyNumberFormat="1" applyFont="1" applyFill="1" applyBorder="1" applyAlignment="1">
      <alignment horizontal="center" vertical="center"/>
    </xf>
    <xf numFmtId="167" fontId="25" fillId="4" borderId="22" xfId="0" applyNumberFormat="1" applyFont="1" applyFill="1" applyBorder="1" applyAlignment="1">
      <alignment horizontal="center" vertical="center"/>
    </xf>
    <xf numFmtId="0" fontId="25" fillId="4" borderId="22" xfId="0" applyFont="1" applyFill="1" applyBorder="1" applyAlignment="1">
      <alignment horizontal="center" vertical="center"/>
    </xf>
    <xf numFmtId="0" fontId="26" fillId="4" borderId="23" xfId="0" applyFont="1" applyFill="1" applyBorder="1" applyAlignment="1">
      <alignment horizontal="left"/>
    </xf>
    <xf numFmtId="0" fontId="0" fillId="0" borderId="8" xfId="0" applyBorder="1"/>
    <xf numFmtId="0" fontId="26" fillId="0" borderId="22" xfId="0" applyFont="1" applyBorder="1" applyAlignment="1">
      <alignment horizontal="center" vertical="center"/>
    </xf>
    <xf numFmtId="0" fontId="25" fillId="0" borderId="5" xfId="0" applyFont="1" applyBorder="1" applyAlignment="1">
      <alignment horizontal="center" vertical="center"/>
    </xf>
    <xf numFmtId="167" fontId="26" fillId="0" borderId="5" xfId="0" applyNumberFormat="1" applyFont="1" applyBorder="1" applyAlignment="1">
      <alignment horizontal="center" vertical="center"/>
    </xf>
    <xf numFmtId="0" fontId="25" fillId="4" borderId="23" xfId="0" applyFont="1" applyFill="1" applyBorder="1" applyAlignment="1">
      <alignment horizontal="center" vertical="center"/>
    </xf>
    <xf numFmtId="171" fontId="25" fillId="4" borderId="23" xfId="0" applyNumberFormat="1" applyFont="1" applyFill="1" applyBorder="1" applyAlignment="1">
      <alignment horizontal="center" vertical="center"/>
    </xf>
    <xf numFmtId="171" fontId="26" fillId="4" borderId="23" xfId="0" applyNumberFormat="1" applyFont="1" applyFill="1" applyBorder="1" applyAlignment="1">
      <alignment horizontal="center" vertical="center"/>
    </xf>
    <xf numFmtId="0" fontId="26" fillId="4" borderId="23" xfId="0" applyFont="1" applyFill="1" applyBorder="1" applyAlignment="1">
      <alignment horizontal="center" vertical="center"/>
    </xf>
    <xf numFmtId="165" fontId="26" fillId="5" borderId="2" xfId="4" applyFont="1" applyFill="1" applyBorder="1" applyAlignment="1">
      <alignment horizontal="center" vertical="center"/>
    </xf>
    <xf numFmtId="0" fontId="0" fillId="0" borderId="4" xfId="0" applyBorder="1"/>
    <xf numFmtId="0" fontId="26" fillId="0" borderId="6" xfId="0" applyFont="1" applyBorder="1" applyAlignment="1">
      <alignment horizontal="center" vertical="center" wrapText="1"/>
    </xf>
    <xf numFmtId="0" fontId="26" fillId="4" borderId="1" xfId="0" applyFont="1" applyFill="1" applyBorder="1"/>
    <xf numFmtId="0" fontId="27" fillId="4" borderId="1" xfId="0" applyFont="1" applyFill="1" applyBorder="1" applyAlignment="1">
      <alignment horizontal="left" vertical="center"/>
    </xf>
    <xf numFmtId="0" fontId="27" fillId="7" borderId="1" xfId="0" applyFont="1" applyFill="1" applyBorder="1" applyAlignment="1">
      <alignment horizontal="left" vertical="center"/>
    </xf>
    <xf numFmtId="0" fontId="25" fillId="0" borderId="4" xfId="0" applyFont="1" applyBorder="1" applyAlignment="1">
      <alignment vertical="center"/>
    </xf>
    <xf numFmtId="171" fontId="26" fillId="4" borderId="6" xfId="0" applyNumberFormat="1" applyFont="1" applyFill="1" applyBorder="1" applyAlignment="1">
      <alignment horizontal="center" vertical="center"/>
    </xf>
    <xf numFmtId="0" fontId="25" fillId="0" borderId="6" xfId="0" applyFont="1" applyBorder="1" applyAlignment="1">
      <alignment horizontal="center" vertical="center"/>
    </xf>
    <xf numFmtId="0" fontId="25" fillId="0" borderId="23" xfId="0" applyFont="1" applyBorder="1" applyAlignment="1">
      <alignment horizontal="center" vertical="center"/>
    </xf>
    <xf numFmtId="0" fontId="25" fillId="0" borderId="8" xfId="0" applyFont="1" applyBorder="1" applyAlignment="1">
      <alignment horizontal="center" vertical="center"/>
    </xf>
    <xf numFmtId="167" fontId="26" fillId="0" borderId="6" xfId="0" applyNumberFormat="1" applyFont="1" applyBorder="1" applyAlignment="1">
      <alignment horizontal="center" vertical="center"/>
    </xf>
    <xf numFmtId="173" fontId="25" fillId="5" borderId="1" xfId="0" applyNumberFormat="1" applyFont="1" applyFill="1" applyBorder="1" applyAlignment="1">
      <alignment horizontal="center" vertical="center"/>
    </xf>
    <xf numFmtId="173" fontId="26" fillId="0" borderId="1" xfId="0" applyNumberFormat="1" applyFont="1" applyBorder="1" applyAlignment="1">
      <alignment horizontal="center" vertical="center"/>
    </xf>
    <xf numFmtId="173" fontId="25" fillId="4" borderId="1" xfId="0" applyNumberFormat="1" applyFont="1" applyFill="1" applyBorder="1" applyAlignment="1">
      <alignment horizontal="center" vertical="center"/>
    </xf>
    <xf numFmtId="173" fontId="26" fillId="4" borderId="1" xfId="0" applyNumberFormat="1" applyFont="1" applyFill="1" applyBorder="1" applyAlignment="1">
      <alignment horizontal="center" vertical="center"/>
    </xf>
    <xf numFmtId="173" fontId="25" fillId="4" borderId="4" xfId="0" applyNumberFormat="1" applyFont="1" applyFill="1" applyBorder="1" applyAlignment="1">
      <alignment horizontal="center" vertical="center"/>
    </xf>
    <xf numFmtId="0" fontId="54" fillId="4" borderId="22" xfId="0" applyFont="1" applyFill="1" applyBorder="1" applyAlignment="1">
      <alignment horizontal="center" vertical="center"/>
    </xf>
    <xf numFmtId="14" fontId="25" fillId="4" borderId="22" xfId="0" applyNumberFormat="1" applyFont="1" applyFill="1" applyBorder="1" applyAlignment="1">
      <alignment horizontal="center" vertical="center"/>
    </xf>
    <xf numFmtId="172" fontId="52" fillId="4" borderId="5" xfId="4" applyNumberFormat="1" applyFont="1" applyFill="1" applyBorder="1" applyAlignment="1">
      <alignment horizontal="center" vertical="center"/>
    </xf>
    <xf numFmtId="172" fontId="52" fillId="4" borderId="4" xfId="4" applyNumberFormat="1" applyFont="1" applyFill="1" applyBorder="1" applyAlignment="1">
      <alignment horizontal="center" vertical="center"/>
    </xf>
    <xf numFmtId="0" fontId="27" fillId="0" borderId="1" xfId="0" applyFont="1" applyBorder="1" applyAlignment="1">
      <alignment vertical="center"/>
    </xf>
    <xf numFmtId="0" fontId="27" fillId="0" borderId="5" xfId="0" applyFont="1" applyBorder="1" applyAlignment="1">
      <alignment vertical="center"/>
    </xf>
    <xf numFmtId="0" fontId="27" fillId="4" borderId="22" xfId="0" applyFont="1" applyFill="1" applyBorder="1" applyAlignment="1">
      <alignment horizontal="left" vertical="center"/>
    </xf>
    <xf numFmtId="0" fontId="26" fillId="4" borderId="0" xfId="0" applyFont="1" applyFill="1" applyAlignment="1">
      <alignment horizontal="left"/>
    </xf>
    <xf numFmtId="0" fontId="27" fillId="37" borderId="1" xfId="0" applyFont="1" applyFill="1" applyBorder="1" applyAlignment="1">
      <alignment vertical="center"/>
    </xf>
    <xf numFmtId="49" fontId="26" fillId="0" borderId="1" xfId="0" applyNumberFormat="1" applyFont="1" applyBorder="1" applyAlignment="1">
      <alignment horizontal="center" vertical="center" wrapText="1"/>
    </xf>
    <xf numFmtId="171" fontId="25" fillId="8" borderId="1" xfId="0" applyNumberFormat="1" applyFont="1" applyFill="1" applyBorder="1" applyAlignment="1">
      <alignment horizontal="center" vertical="center"/>
    </xf>
    <xf numFmtId="0" fontId="56" fillId="0" borderId="0" xfId="0" applyFont="1"/>
    <xf numFmtId="0" fontId="26" fillId="38" borderId="1" xfId="0" applyFont="1" applyFill="1" applyBorder="1" applyAlignment="1">
      <alignment horizontal="center" vertical="center" wrapText="1"/>
    </xf>
    <xf numFmtId="172" fontId="52" fillId="4" borderId="23" xfId="4" applyNumberFormat="1" applyFont="1" applyFill="1" applyBorder="1" applyAlignment="1">
      <alignment horizontal="center" vertical="center"/>
    </xf>
    <xf numFmtId="172" fontId="52" fillId="4" borderId="1" xfId="4" applyNumberFormat="1" applyFont="1" applyFill="1" applyBorder="1" applyAlignment="1">
      <alignment horizontal="center" vertical="center"/>
    </xf>
    <xf numFmtId="171" fontId="27" fillId="5" borderId="1" xfId="0" applyNumberFormat="1" applyFont="1" applyFill="1" applyBorder="1" applyAlignment="1">
      <alignment horizontal="center" vertical="center"/>
    </xf>
    <xf numFmtId="173" fontId="25" fillId="7" borderId="1" xfId="0" applyNumberFormat="1" applyFont="1" applyFill="1" applyBorder="1" applyAlignment="1">
      <alignment horizontal="center" vertical="center"/>
    </xf>
    <xf numFmtId="167" fontId="53" fillId="4" borderId="1" xfId="0" applyNumberFormat="1" applyFont="1" applyFill="1" applyBorder="1" applyAlignment="1">
      <alignment horizontal="center" vertical="center"/>
    </xf>
    <xf numFmtId="171" fontId="27" fillId="4" borderId="22" xfId="0" applyNumberFormat="1" applyFont="1" applyFill="1" applyBorder="1" applyAlignment="1">
      <alignment horizontal="center" vertical="center"/>
    </xf>
    <xf numFmtId="0" fontId="54" fillId="4" borderId="6" xfId="0" applyFont="1" applyFill="1" applyBorder="1" applyAlignment="1">
      <alignment horizontal="center" vertical="center"/>
    </xf>
    <xf numFmtId="49" fontId="26" fillId="4" borderId="4" xfId="0" applyNumberFormat="1" applyFont="1" applyFill="1" applyBorder="1" applyAlignment="1">
      <alignment horizontal="center" vertical="center"/>
    </xf>
    <xf numFmtId="166" fontId="26" fillId="5" borderId="4" xfId="0" applyNumberFormat="1" applyFont="1" applyFill="1" applyBorder="1" applyAlignment="1">
      <alignment horizontal="center" vertical="center"/>
    </xf>
    <xf numFmtId="173" fontId="25" fillId="5" borderId="4" xfId="0" applyNumberFormat="1" applyFont="1" applyFill="1" applyBorder="1" applyAlignment="1">
      <alignment horizontal="center" vertical="center"/>
    </xf>
    <xf numFmtId="171" fontId="26" fillId="5" borderId="4" xfId="0" applyNumberFormat="1" applyFont="1" applyFill="1" applyBorder="1" applyAlignment="1">
      <alignment horizontal="center" vertical="center"/>
    </xf>
    <xf numFmtId="166" fontId="26" fillId="5" borderId="1" xfId="0" applyNumberFormat="1" applyFont="1" applyFill="1" applyBorder="1" applyAlignment="1">
      <alignment vertical="center"/>
    </xf>
    <xf numFmtId="165" fontId="26" fillId="5" borderId="1" xfId="25" applyFont="1" applyFill="1" applyBorder="1" applyAlignment="1">
      <alignment horizontal="center" vertical="center"/>
    </xf>
    <xf numFmtId="172" fontId="25" fillId="5" borderId="1" xfId="25" applyNumberFormat="1" applyFont="1" applyFill="1" applyBorder="1" applyAlignment="1">
      <alignment horizontal="center" vertical="center"/>
    </xf>
    <xf numFmtId="166" fontId="26" fillId="4" borderId="5" xfId="0" applyNumberFormat="1" applyFont="1" applyFill="1" applyBorder="1" applyAlignment="1">
      <alignment vertical="center"/>
    </xf>
    <xf numFmtId="165" fontId="26" fillId="4" borderId="1" xfId="25" applyFont="1" applyFill="1" applyBorder="1" applyAlignment="1">
      <alignment horizontal="center" vertical="center"/>
    </xf>
    <xf numFmtId="0" fontId="0" fillId="0" borderId="1" xfId="0" applyBorder="1"/>
    <xf numFmtId="0" fontId="0" fillId="4" borderId="1" xfId="0" applyFill="1" applyBorder="1"/>
    <xf numFmtId="0" fontId="25" fillId="0" borderId="1" xfId="0" applyFont="1" applyBorder="1"/>
    <xf numFmtId="0" fontId="26" fillId="4" borderId="1" xfId="0" applyFont="1" applyFill="1" applyBorder="1" applyAlignment="1">
      <alignment horizontal="center"/>
    </xf>
    <xf numFmtId="171" fontId="27" fillId="8" borderId="1" xfId="0" applyNumberFormat="1" applyFont="1" applyFill="1" applyBorder="1" applyAlignment="1">
      <alignment horizontal="center" vertical="center"/>
    </xf>
    <xf numFmtId="0" fontId="26" fillId="5" borderId="5" xfId="0" applyFont="1" applyFill="1" applyBorder="1" applyAlignment="1">
      <alignment horizontal="center" vertical="center"/>
    </xf>
    <xf numFmtId="171" fontId="53" fillId="8" borderId="1" xfId="0" applyNumberFormat="1" applyFont="1" applyFill="1" applyBorder="1" applyAlignment="1">
      <alignment horizontal="center" vertical="center"/>
    </xf>
    <xf numFmtId="167" fontId="26" fillId="7" borderId="1" xfId="0" applyNumberFormat="1" applyFont="1" applyFill="1" applyBorder="1" applyAlignment="1">
      <alignment horizontal="center" vertical="center"/>
    </xf>
    <xf numFmtId="167" fontId="26" fillId="5" borderId="1" xfId="0" applyNumberFormat="1" applyFont="1" applyFill="1" applyBorder="1" applyAlignment="1">
      <alignment horizontal="center" vertical="center"/>
    </xf>
    <xf numFmtId="166" fontId="26" fillId="5" borderId="5" xfId="0" applyNumberFormat="1" applyFont="1" applyFill="1" applyBorder="1" applyAlignment="1">
      <alignment horizontal="center" vertical="center"/>
    </xf>
    <xf numFmtId="0" fontId="25" fillId="5" borderId="5" xfId="0" applyFont="1" applyFill="1" applyBorder="1" applyAlignment="1">
      <alignment horizontal="center" vertical="center"/>
    </xf>
    <xf numFmtId="167" fontId="25" fillId="5" borderId="5" xfId="0" applyNumberFormat="1" applyFont="1" applyFill="1" applyBorder="1" applyAlignment="1">
      <alignment horizontal="center" vertical="center"/>
    </xf>
    <xf numFmtId="171" fontId="53" fillId="4" borderId="2" xfId="0" applyNumberFormat="1" applyFont="1" applyFill="1" applyBorder="1" applyAlignment="1">
      <alignment horizontal="center" vertical="center"/>
    </xf>
    <xf numFmtId="0" fontId="25" fillId="37" borderId="1" xfId="0" applyFont="1" applyFill="1" applyBorder="1" applyAlignment="1">
      <alignment vertical="center"/>
    </xf>
    <xf numFmtId="0" fontId="25" fillId="40" borderId="1" xfId="0" applyFont="1" applyFill="1" applyBorder="1" applyAlignment="1">
      <alignment horizontal="left" vertical="center"/>
    </xf>
    <xf numFmtId="0" fontId="26" fillId="40" borderId="1" xfId="0" applyFont="1" applyFill="1" applyBorder="1" applyAlignment="1">
      <alignment horizontal="center" vertical="center"/>
    </xf>
    <xf numFmtId="166" fontId="26" fillId="40" borderId="1" xfId="0" applyNumberFormat="1" applyFont="1" applyFill="1" applyBorder="1" applyAlignment="1">
      <alignment horizontal="center" vertical="center"/>
    </xf>
    <xf numFmtId="0" fontId="25" fillId="40" borderId="1" xfId="0" applyFont="1" applyFill="1" applyBorder="1" applyAlignment="1">
      <alignment horizontal="center" vertical="center"/>
    </xf>
    <xf numFmtId="171" fontId="25" fillId="40" borderId="1" xfId="0" applyNumberFormat="1" applyFont="1" applyFill="1" applyBorder="1" applyAlignment="1">
      <alignment horizontal="center" vertical="center"/>
    </xf>
    <xf numFmtId="165" fontId="26" fillId="40" borderId="1" xfId="4" applyFont="1" applyFill="1" applyBorder="1" applyAlignment="1">
      <alignment horizontal="center" vertical="center"/>
    </xf>
    <xf numFmtId="167" fontId="25" fillId="40" borderId="1" xfId="0" applyNumberFormat="1" applyFont="1" applyFill="1" applyBorder="1" applyAlignment="1">
      <alignment horizontal="center" vertical="center"/>
    </xf>
    <xf numFmtId="173" fontId="25" fillId="40" borderId="1" xfId="0" applyNumberFormat="1" applyFont="1" applyFill="1" applyBorder="1" applyAlignment="1">
      <alignment horizontal="center" vertical="center"/>
    </xf>
    <xf numFmtId="171" fontId="26" fillId="40" borderId="1" xfId="0" applyNumberFormat="1" applyFont="1" applyFill="1" applyBorder="1" applyAlignment="1">
      <alignment horizontal="center" vertical="center"/>
    </xf>
    <xf numFmtId="172" fontId="25" fillId="40" borderId="1" xfId="4" applyNumberFormat="1" applyFont="1" applyFill="1" applyBorder="1" applyAlignment="1">
      <alignment horizontal="center" vertical="center"/>
    </xf>
    <xf numFmtId="0" fontId="53" fillId="40" borderId="1" xfId="0" applyFont="1" applyFill="1" applyBorder="1" applyAlignment="1">
      <alignment horizontal="center" vertical="center"/>
    </xf>
    <xf numFmtId="0" fontId="26" fillId="40" borderId="1" xfId="0" applyFont="1" applyFill="1" applyBorder="1" applyAlignment="1">
      <alignment horizontal="left"/>
    </xf>
    <xf numFmtId="171" fontId="53" fillId="40" borderId="1" xfId="0" applyNumberFormat="1" applyFont="1" applyFill="1" applyBorder="1" applyAlignment="1">
      <alignment horizontal="center" vertical="center"/>
    </xf>
    <xf numFmtId="0" fontId="26" fillId="40" borderId="0" xfId="0" applyFont="1" applyFill="1"/>
    <xf numFmtId="0" fontId="59" fillId="39" borderId="1" xfId="0" applyFont="1" applyFill="1" applyBorder="1" applyAlignment="1">
      <alignment horizontal="center" vertical="center" wrapText="1"/>
    </xf>
    <xf numFmtId="171" fontId="59" fillId="39" borderId="1" xfId="0" applyNumberFormat="1" applyFont="1" applyFill="1" applyBorder="1" applyAlignment="1">
      <alignment horizontal="center" vertical="center" wrapText="1"/>
    </xf>
    <xf numFmtId="0" fontId="60" fillId="2" borderId="1" xfId="0" applyFont="1" applyFill="1" applyBorder="1" applyAlignment="1">
      <alignment horizontal="center" vertical="center" wrapText="1"/>
    </xf>
    <xf numFmtId="171" fontId="60" fillId="39" borderId="2" xfId="0" applyNumberFormat="1" applyFont="1" applyFill="1" applyBorder="1" applyAlignment="1">
      <alignment horizontal="center" vertical="center" wrapText="1"/>
    </xf>
    <xf numFmtId="0" fontId="61" fillId="0" borderId="0" xfId="0" applyFont="1"/>
    <xf numFmtId="171" fontId="60" fillId="4" borderId="1" xfId="0" applyNumberFormat="1" applyFont="1" applyFill="1" applyBorder="1" applyAlignment="1">
      <alignment horizontal="center" vertical="center"/>
    </xf>
    <xf numFmtId="0" fontId="61" fillId="4" borderId="1" xfId="0" applyFont="1" applyFill="1" applyBorder="1" applyAlignment="1">
      <alignment horizontal="center" vertical="center"/>
    </xf>
    <xf numFmtId="171" fontId="59" fillId="4" borderId="1" xfId="0" applyNumberFormat="1" applyFont="1" applyFill="1" applyBorder="1" applyAlignment="1">
      <alignment horizontal="center" vertical="center"/>
    </xf>
    <xf numFmtId="0" fontId="60" fillId="4" borderId="1" xfId="0" applyFont="1" applyFill="1" applyBorder="1" applyAlignment="1">
      <alignment horizontal="center" vertical="center"/>
    </xf>
    <xf numFmtId="0" fontId="61" fillId="4" borderId="0" xfId="0" applyFont="1" applyFill="1"/>
    <xf numFmtId="166" fontId="61" fillId="4" borderId="1" xfId="0" applyNumberFormat="1" applyFont="1" applyFill="1" applyBorder="1" applyAlignment="1">
      <alignment horizontal="center" vertical="center"/>
    </xf>
    <xf numFmtId="165" fontId="61" fillId="4" borderId="1" xfId="4" applyFont="1" applyFill="1" applyBorder="1" applyAlignment="1">
      <alignment horizontal="center" vertical="center"/>
    </xf>
    <xf numFmtId="167" fontId="61" fillId="4" borderId="1" xfId="0" applyNumberFormat="1" applyFont="1" applyFill="1" applyBorder="1" applyAlignment="1">
      <alignment horizontal="center" vertical="center"/>
    </xf>
    <xf numFmtId="0" fontId="63" fillId="4" borderId="1" xfId="0" applyFont="1" applyFill="1" applyBorder="1" applyAlignment="1">
      <alignment horizontal="center" vertical="center"/>
    </xf>
    <xf numFmtId="0" fontId="61" fillId="4" borderId="1" xfId="0" applyFont="1" applyFill="1" applyBorder="1" applyAlignment="1">
      <alignment horizontal="left"/>
    </xf>
    <xf numFmtId="0" fontId="63" fillId="38" borderId="1" xfId="0" applyFont="1" applyFill="1" applyBorder="1" applyAlignment="1">
      <alignment horizontal="center" vertical="center"/>
    </xf>
    <xf numFmtId="167" fontId="61" fillId="0" borderId="1" xfId="0" applyNumberFormat="1" applyFont="1" applyBorder="1" applyAlignment="1">
      <alignment horizontal="center" vertical="center"/>
    </xf>
    <xf numFmtId="0" fontId="61" fillId="0" borderId="1" xfId="0" applyFont="1" applyBorder="1" applyAlignment="1">
      <alignment horizontal="center"/>
    </xf>
    <xf numFmtId="0" fontId="61" fillId="0" borderId="1" xfId="0" applyFont="1" applyBorder="1"/>
    <xf numFmtId="0" fontId="61" fillId="4" borderId="1" xfId="0" applyFont="1" applyFill="1" applyBorder="1"/>
    <xf numFmtId="0" fontId="60" fillId="5" borderId="1" xfId="0" applyFont="1" applyFill="1" applyBorder="1" applyAlignment="1">
      <alignment horizontal="left" vertical="center"/>
    </xf>
    <xf numFmtId="171" fontId="62" fillId="8" borderId="1" xfId="0" applyNumberFormat="1" applyFont="1" applyFill="1" applyBorder="1" applyAlignment="1">
      <alignment horizontal="center" vertical="center"/>
    </xf>
    <xf numFmtId="0" fontId="61" fillId="0" borderId="1" xfId="0" applyFont="1" applyBorder="1" applyAlignment="1">
      <alignment horizontal="center" vertical="center"/>
    </xf>
    <xf numFmtId="173" fontId="60" fillId="4" borderId="1" xfId="0" applyNumberFormat="1" applyFont="1" applyFill="1" applyBorder="1" applyAlignment="1">
      <alignment horizontal="center" vertical="center"/>
    </xf>
    <xf numFmtId="0" fontId="61" fillId="0" borderId="0" xfId="0" applyFont="1" applyAlignment="1">
      <alignment horizontal="center" vertical="center"/>
    </xf>
    <xf numFmtId="0" fontId="61" fillId="4" borderId="0" xfId="0" applyFont="1" applyFill="1" applyAlignment="1">
      <alignment horizontal="center" vertical="center"/>
    </xf>
    <xf numFmtId="171" fontId="60" fillId="4" borderId="0" xfId="0" applyNumberFormat="1" applyFont="1" applyFill="1" applyAlignment="1">
      <alignment horizontal="center" vertical="center"/>
    </xf>
    <xf numFmtId="0" fontId="60" fillId="7" borderId="1" xfId="0" applyFont="1" applyFill="1" applyBorder="1" applyAlignment="1">
      <alignment horizontal="left" vertical="center"/>
    </xf>
    <xf numFmtId="0" fontId="58" fillId="4" borderId="1" xfId="0" applyFont="1" applyFill="1" applyBorder="1" applyAlignment="1">
      <alignment horizontal="left" vertical="center"/>
    </xf>
    <xf numFmtId="164" fontId="52" fillId="0" borderId="1" xfId="0" applyNumberFormat="1" applyFont="1" applyBorder="1"/>
    <xf numFmtId="0" fontId="27" fillId="0" borderId="1" xfId="0" applyFont="1" applyBorder="1"/>
    <xf numFmtId="165" fontId="26" fillId="4" borderId="1" xfId="25" applyFont="1" applyFill="1" applyBorder="1" applyAlignment="1">
      <alignment vertical="center"/>
    </xf>
    <xf numFmtId="0" fontId="60" fillId="2" borderId="7" xfId="0" applyFont="1" applyFill="1" applyBorder="1" applyAlignment="1">
      <alignment horizontal="center" vertical="center" wrapText="1"/>
    </xf>
    <xf numFmtId="0" fontId="57" fillId="4" borderId="0" xfId="0" applyFont="1" applyFill="1"/>
    <xf numFmtId="171" fontId="25" fillId="4" borderId="28" xfId="0" applyNumberFormat="1" applyFont="1" applyFill="1" applyBorder="1" applyAlignment="1">
      <alignment horizontal="center" vertical="center"/>
    </xf>
    <xf numFmtId="171" fontId="25" fillId="5" borderId="5" xfId="0" applyNumberFormat="1" applyFont="1" applyFill="1" applyBorder="1" applyAlignment="1">
      <alignment horizontal="center" vertical="center"/>
    </xf>
    <xf numFmtId="167" fontId="25" fillId="5" borderId="4" xfId="0" applyNumberFormat="1" applyFont="1" applyFill="1" applyBorder="1" applyAlignment="1">
      <alignment horizontal="center" vertical="center"/>
    </xf>
    <xf numFmtId="0" fontId="26" fillId="4" borderId="1" xfId="0" applyFont="1" applyFill="1" applyBorder="1" applyAlignment="1">
      <alignment vertical="center"/>
    </xf>
    <xf numFmtId="0" fontId="27" fillId="4" borderId="24" xfId="0" applyFont="1" applyFill="1" applyBorder="1" applyAlignment="1">
      <alignment vertical="center"/>
    </xf>
    <xf numFmtId="0" fontId="26" fillId="4" borderId="25" xfId="0" applyFont="1" applyFill="1" applyBorder="1" applyAlignment="1">
      <alignment horizontal="center" vertical="center"/>
    </xf>
    <xf numFmtId="166" fontId="26" fillId="4" borderId="25" xfId="0" applyNumberFormat="1" applyFont="1" applyFill="1" applyBorder="1" applyAlignment="1">
      <alignment horizontal="center" vertical="center"/>
    </xf>
    <xf numFmtId="0" fontId="25" fillId="0" borderId="25" xfId="0" applyFont="1" applyBorder="1" applyAlignment="1">
      <alignment horizontal="center" vertical="center"/>
    </xf>
    <xf numFmtId="171" fontId="25" fillId="4" borderId="25" xfId="0" applyNumberFormat="1" applyFont="1" applyFill="1" applyBorder="1" applyAlignment="1">
      <alignment horizontal="center" vertical="center"/>
    </xf>
    <xf numFmtId="0" fontId="54" fillId="38" borderId="25" xfId="0" applyFont="1" applyFill="1" applyBorder="1" applyAlignment="1">
      <alignment horizontal="center" vertical="center"/>
    </xf>
    <xf numFmtId="167" fontId="26" fillId="0" borderId="25" xfId="0" applyNumberFormat="1" applyFont="1" applyBorder="1" applyAlignment="1">
      <alignment horizontal="center" vertical="center"/>
    </xf>
    <xf numFmtId="173" fontId="25" fillId="4" borderId="25" xfId="0" applyNumberFormat="1" applyFont="1" applyFill="1" applyBorder="1" applyAlignment="1">
      <alignment horizontal="center" vertical="center"/>
    </xf>
    <xf numFmtId="167" fontId="26" fillId="4" borderId="25" xfId="0" applyNumberFormat="1" applyFont="1" applyFill="1" applyBorder="1" applyAlignment="1">
      <alignment horizontal="center" vertical="center"/>
    </xf>
    <xf numFmtId="0" fontId="54" fillId="4" borderId="25" xfId="0" applyFont="1" applyFill="1" applyBorder="1" applyAlignment="1">
      <alignment horizontal="center" vertical="center"/>
    </xf>
    <xf numFmtId="0" fontId="25" fillId="4" borderId="25" xfId="0" applyFont="1" applyFill="1" applyBorder="1" applyAlignment="1">
      <alignment horizontal="center" vertical="center"/>
    </xf>
    <xf numFmtId="0" fontId="26" fillId="4" borderId="26" xfId="0" applyFont="1" applyFill="1" applyBorder="1" applyAlignment="1">
      <alignment horizontal="left"/>
    </xf>
    <xf numFmtId="0" fontId="25" fillId="0" borderId="27" xfId="0" applyFont="1" applyBorder="1"/>
    <xf numFmtId="0" fontId="26" fillId="0" borderId="28" xfId="0" applyFont="1" applyBorder="1" applyAlignment="1">
      <alignment horizontal="center"/>
    </xf>
    <xf numFmtId="166" fontId="26" fillId="4" borderId="28" xfId="0" applyNumberFormat="1" applyFont="1" applyFill="1" applyBorder="1" applyAlignment="1">
      <alignment vertical="center"/>
    </xf>
    <xf numFmtId="0" fontId="26" fillId="4" borderId="28" xfId="0" applyFont="1" applyFill="1" applyBorder="1" applyAlignment="1">
      <alignment horizontal="center" vertical="center"/>
    </xf>
    <xf numFmtId="0" fontId="25" fillId="4" borderId="28" xfId="0" applyFont="1" applyFill="1" applyBorder="1" applyAlignment="1">
      <alignment horizontal="center" vertical="center"/>
    </xf>
    <xf numFmtId="0" fontId="25" fillId="0" borderId="28" xfId="0" applyFont="1" applyBorder="1" applyAlignment="1">
      <alignment horizontal="center" vertical="center"/>
    </xf>
    <xf numFmtId="165" fontId="26" fillId="4" borderId="28" xfId="25" applyFont="1" applyFill="1" applyBorder="1" applyAlignment="1">
      <alignment vertical="center"/>
    </xf>
    <xf numFmtId="167" fontId="26" fillId="4" borderId="28" xfId="0" applyNumberFormat="1" applyFont="1" applyFill="1" applyBorder="1" applyAlignment="1">
      <alignment horizontal="center" vertical="center"/>
    </xf>
    <xf numFmtId="0" fontId="26" fillId="0" borderId="28" xfId="0" applyFont="1" applyBorder="1"/>
    <xf numFmtId="171" fontId="26" fillId="4" borderId="28" xfId="0" applyNumberFormat="1" applyFont="1" applyFill="1" applyBorder="1" applyAlignment="1">
      <alignment horizontal="center" vertical="center"/>
    </xf>
    <xf numFmtId="0" fontId="53" fillId="6" borderId="28" xfId="0" applyFont="1" applyFill="1" applyBorder="1" applyAlignment="1">
      <alignment horizontal="center" vertical="center"/>
    </xf>
    <xf numFmtId="0" fontId="26" fillId="0" borderId="29" xfId="0" applyFont="1" applyBorder="1"/>
    <xf numFmtId="0" fontId="25" fillId="7" borderId="1" xfId="0" applyFont="1" applyFill="1" applyBorder="1" applyAlignment="1">
      <alignment horizontal="left" vertical="center"/>
    </xf>
    <xf numFmtId="0" fontId="27" fillId="4" borderId="27" xfId="0" applyFont="1" applyFill="1" applyBorder="1" applyAlignment="1">
      <alignment vertical="center"/>
    </xf>
    <xf numFmtId="166" fontId="26" fillId="4" borderId="28" xfId="0" applyNumberFormat="1" applyFont="1" applyFill="1" applyBorder="1" applyAlignment="1">
      <alignment horizontal="center" vertical="center"/>
    </xf>
    <xf numFmtId="0" fontId="54" fillId="38" borderId="28" xfId="0" applyFont="1" applyFill="1" applyBorder="1" applyAlignment="1">
      <alignment horizontal="center" vertical="center"/>
    </xf>
    <xf numFmtId="165" fontId="26" fillId="4" borderId="28" xfId="4" applyFont="1" applyFill="1" applyBorder="1" applyAlignment="1">
      <alignment horizontal="center" vertical="center"/>
    </xf>
    <xf numFmtId="167" fontId="26" fillId="0" borderId="28" xfId="0" applyNumberFormat="1" applyFont="1" applyBorder="1" applyAlignment="1">
      <alignment horizontal="center" vertical="center"/>
    </xf>
    <xf numFmtId="173" fontId="25" fillId="4" borderId="28" xfId="0" applyNumberFormat="1" applyFont="1" applyFill="1" applyBorder="1" applyAlignment="1">
      <alignment horizontal="center" vertical="center"/>
    </xf>
    <xf numFmtId="0" fontId="54" fillId="4" borderId="28" xfId="0" applyFont="1" applyFill="1" applyBorder="1" applyAlignment="1">
      <alignment horizontal="center" vertical="center"/>
    </xf>
    <xf numFmtId="0" fontId="26" fillId="4" borderId="29" xfId="0" applyFont="1" applyFill="1" applyBorder="1" applyAlignment="1">
      <alignment horizontal="left"/>
    </xf>
    <xf numFmtId="0" fontId="26" fillId="4" borderId="3" xfId="0" applyFont="1" applyFill="1" applyBorder="1"/>
    <xf numFmtId="0" fontId="53" fillId="6" borderId="5" xfId="0" applyFont="1" applyFill="1" applyBorder="1" applyAlignment="1">
      <alignment horizontal="center" vertical="center"/>
    </xf>
    <xf numFmtId="0" fontId="57" fillId="4" borderId="1" xfId="0" applyFont="1" applyFill="1" applyBorder="1" applyAlignment="1">
      <alignment horizontal="center" vertical="center"/>
    </xf>
    <xf numFmtId="167" fontId="57" fillId="4" borderId="1" xfId="0" applyNumberFormat="1" applyFont="1" applyFill="1" applyBorder="1" applyAlignment="1">
      <alignment horizontal="center" vertical="center"/>
    </xf>
    <xf numFmtId="171" fontId="54" fillId="4" borderId="1" xfId="0" applyNumberFormat="1" applyFont="1" applyFill="1" applyBorder="1" applyAlignment="1">
      <alignment horizontal="center" vertical="center"/>
    </xf>
    <xf numFmtId="0" fontId="27" fillId="6" borderId="1" xfId="0" applyFont="1" applyFill="1" applyBorder="1" applyAlignment="1">
      <alignment horizontal="center" vertical="center"/>
    </xf>
    <xf numFmtId="0" fontId="57" fillId="4" borderId="4" xfId="0" applyFont="1" applyFill="1" applyBorder="1"/>
    <xf numFmtId="0" fontId="25" fillId="4" borderId="33" xfId="0" applyFont="1" applyFill="1" applyBorder="1" applyAlignment="1">
      <alignment horizontal="left" vertical="center"/>
    </xf>
    <xf numFmtId="0" fontId="26" fillId="4" borderId="33" xfId="0" applyFont="1" applyFill="1" applyBorder="1" applyAlignment="1">
      <alignment horizontal="center" vertical="center"/>
    </xf>
    <xf numFmtId="166" fontId="26" fillId="4" borderId="33" xfId="0" applyNumberFormat="1" applyFont="1" applyFill="1" applyBorder="1" applyAlignment="1">
      <alignment horizontal="center" vertical="center"/>
    </xf>
    <xf numFmtId="171" fontId="25" fillId="4" borderId="33" xfId="0" applyNumberFormat="1" applyFont="1" applyFill="1" applyBorder="1" applyAlignment="1">
      <alignment horizontal="center" vertical="center"/>
    </xf>
    <xf numFmtId="0" fontId="54" fillId="38" borderId="33" xfId="0" applyFont="1" applyFill="1" applyBorder="1" applyAlignment="1">
      <alignment horizontal="center" vertical="center"/>
    </xf>
    <xf numFmtId="165" fontId="26" fillId="4" borderId="33" xfId="4" applyFont="1" applyFill="1" applyBorder="1" applyAlignment="1">
      <alignment horizontal="center" vertical="center"/>
    </xf>
    <xf numFmtId="167" fontId="26" fillId="0" borderId="33" xfId="0" applyNumberFormat="1" applyFont="1" applyBorder="1" applyAlignment="1">
      <alignment horizontal="center" vertical="center"/>
    </xf>
    <xf numFmtId="173" fontId="25" fillId="4" borderId="33" xfId="0" applyNumberFormat="1" applyFont="1" applyFill="1" applyBorder="1" applyAlignment="1">
      <alignment horizontal="center" vertical="center"/>
    </xf>
    <xf numFmtId="167" fontId="25" fillId="4" borderId="33" xfId="0" applyNumberFormat="1" applyFont="1" applyFill="1" applyBorder="1" applyAlignment="1">
      <alignment horizontal="center" vertical="center"/>
    </xf>
    <xf numFmtId="171" fontId="26" fillId="4" borderId="33" xfId="0" applyNumberFormat="1" applyFont="1" applyFill="1" applyBorder="1" applyAlignment="1">
      <alignment horizontal="center" vertical="center"/>
    </xf>
    <xf numFmtId="14" fontId="25" fillId="4" borderId="33" xfId="0" applyNumberFormat="1" applyFont="1" applyFill="1" applyBorder="1" applyAlignment="1">
      <alignment horizontal="center" vertical="center"/>
    </xf>
    <xf numFmtId="172" fontId="55" fillId="4" borderId="33" xfId="4" applyNumberFormat="1" applyFont="1" applyFill="1" applyBorder="1" applyAlignment="1">
      <alignment horizontal="center" vertical="center"/>
    </xf>
    <xf numFmtId="0" fontId="25" fillId="4" borderId="33" xfId="0" applyFont="1" applyFill="1" applyBorder="1" applyAlignment="1">
      <alignment horizontal="center" vertical="center"/>
    </xf>
    <xf numFmtId="0" fontId="25" fillId="8" borderId="1" xfId="0" applyFont="1" applyFill="1" applyBorder="1" applyAlignment="1">
      <alignment horizontal="center" vertical="center"/>
    </xf>
    <xf numFmtId="165" fontId="26" fillId="4" borderId="25" xfId="4" applyFont="1" applyFill="1" applyBorder="1" applyAlignment="1">
      <alignment horizontal="center" vertical="center"/>
    </xf>
    <xf numFmtId="0" fontId="25" fillId="4" borderId="4" xfId="0" applyFont="1" applyFill="1" applyBorder="1" applyAlignment="1">
      <alignment horizontal="left" vertical="center"/>
    </xf>
    <xf numFmtId="0" fontId="26" fillId="0" borderId="4" xfId="0" applyFont="1" applyBorder="1" applyAlignment="1">
      <alignment horizontal="center"/>
    </xf>
    <xf numFmtId="0" fontId="26" fillId="4" borderId="4" xfId="0" applyFont="1" applyFill="1" applyBorder="1" applyAlignment="1">
      <alignment horizontal="center"/>
    </xf>
    <xf numFmtId="0" fontId="25" fillId="0" borderId="4" xfId="0" applyFont="1" applyBorder="1" applyAlignment="1">
      <alignment horizontal="center"/>
    </xf>
    <xf numFmtId="0" fontId="26" fillId="0" borderId="4" xfId="0" applyFont="1" applyBorder="1"/>
    <xf numFmtId="165" fontId="26" fillId="4" borderId="4" xfId="25" applyFont="1" applyFill="1" applyBorder="1" applyAlignment="1">
      <alignment horizontal="center" vertical="center"/>
    </xf>
    <xf numFmtId="0" fontId="27" fillId="5" borderId="4" xfId="0" applyFont="1" applyFill="1" applyBorder="1" applyAlignment="1">
      <alignment horizontal="left" vertical="center"/>
    </xf>
    <xf numFmtId="171" fontId="53" fillId="5" borderId="4" xfId="0" applyNumberFormat="1" applyFont="1" applyFill="1" applyBorder="1" applyAlignment="1">
      <alignment horizontal="center" vertical="center"/>
    </xf>
    <xf numFmtId="165" fontId="26" fillId="5" borderId="4" xfId="4" applyFont="1" applyFill="1" applyBorder="1" applyAlignment="1">
      <alignment horizontal="center" vertical="center"/>
    </xf>
    <xf numFmtId="167" fontId="53" fillId="5" borderId="4" xfId="0" applyNumberFormat="1" applyFont="1" applyFill="1" applyBorder="1" applyAlignment="1">
      <alignment horizontal="center" vertical="center"/>
    </xf>
    <xf numFmtId="172" fontId="25" fillId="5" borderId="4" xfId="4" applyNumberFormat="1" applyFont="1" applyFill="1" applyBorder="1" applyAlignment="1">
      <alignment horizontal="center" vertical="center"/>
    </xf>
    <xf numFmtId="0" fontId="26" fillId="4" borderId="4" xfId="0" applyFont="1" applyFill="1" applyBorder="1" applyAlignment="1">
      <alignment horizontal="left" vertical="center"/>
    </xf>
    <xf numFmtId="14" fontId="26" fillId="4" borderId="1" xfId="0" applyNumberFormat="1" applyFont="1" applyFill="1" applyBorder="1" applyAlignment="1">
      <alignment horizontal="center" vertical="center"/>
    </xf>
    <xf numFmtId="165" fontId="26" fillId="4" borderId="4" xfId="4" applyFont="1" applyFill="1" applyBorder="1" applyAlignment="1">
      <alignment horizontal="center" vertical="center"/>
    </xf>
    <xf numFmtId="167" fontId="26" fillId="0" borderId="4" xfId="0" applyNumberFormat="1" applyFont="1" applyBorder="1" applyAlignment="1">
      <alignment horizontal="center" vertical="center"/>
    </xf>
    <xf numFmtId="0" fontId="53" fillId="6" borderId="4" xfId="0" applyFont="1" applyFill="1" applyBorder="1" applyAlignment="1">
      <alignment horizontal="center" vertical="center"/>
    </xf>
    <xf numFmtId="172" fontId="54" fillId="4" borderId="1" xfId="0" applyNumberFormat="1" applyFont="1" applyFill="1" applyBorder="1" applyAlignment="1">
      <alignment wrapText="1"/>
    </xf>
    <xf numFmtId="172" fontId="55" fillId="7" borderId="1" xfId="4" applyNumberFormat="1" applyFont="1" applyFill="1" applyBorder="1" applyAlignment="1">
      <alignment horizontal="center" vertical="center"/>
    </xf>
    <xf numFmtId="166" fontId="26" fillId="4" borderId="1" xfId="0" applyNumberFormat="1" applyFont="1" applyFill="1" applyBorder="1" applyAlignment="1">
      <alignment vertical="center"/>
    </xf>
    <xf numFmtId="0" fontId="25" fillId="4" borderId="30" xfId="0" applyFont="1" applyFill="1" applyBorder="1" applyAlignment="1">
      <alignment vertical="center"/>
    </xf>
    <xf numFmtId="0" fontId="26" fillId="4" borderId="31" xfId="0" applyFont="1" applyFill="1" applyBorder="1" applyAlignment="1">
      <alignment horizontal="left"/>
    </xf>
    <xf numFmtId="0" fontId="25" fillId="0" borderId="4" xfId="0" applyFont="1" applyBorder="1" applyAlignment="1">
      <alignment horizontal="center" vertical="center"/>
    </xf>
    <xf numFmtId="0" fontId="27" fillId="4" borderId="2" xfId="0" applyFont="1" applyFill="1" applyBorder="1" applyAlignment="1">
      <alignment vertical="center"/>
    </xf>
    <xf numFmtId="0" fontId="26" fillId="4" borderId="35" xfId="0" applyFont="1" applyFill="1" applyBorder="1" applyAlignment="1">
      <alignment horizontal="left"/>
    </xf>
    <xf numFmtId="171" fontId="59" fillId="4" borderId="2" xfId="0" applyNumberFormat="1" applyFont="1" applyFill="1" applyBorder="1" applyAlignment="1">
      <alignment horizontal="center" vertical="center"/>
    </xf>
    <xf numFmtId="171" fontId="25" fillId="4" borderId="32" xfId="0" applyNumberFormat="1" applyFont="1" applyFill="1" applyBorder="1" applyAlignment="1">
      <alignment horizontal="center" vertical="center"/>
    </xf>
    <xf numFmtId="172" fontId="25" fillId="4" borderId="4" xfId="25" applyNumberFormat="1" applyFont="1" applyFill="1" applyBorder="1" applyAlignment="1">
      <alignment horizontal="center" vertical="center"/>
    </xf>
    <xf numFmtId="0" fontId="25" fillId="4" borderId="34" xfId="0" applyFont="1" applyFill="1" applyBorder="1" applyAlignment="1">
      <alignment horizontal="center" vertical="center"/>
    </xf>
    <xf numFmtId="0" fontId="27" fillId="0" borderId="4" xfId="0" applyFont="1" applyBorder="1" applyAlignment="1">
      <alignment vertical="center"/>
    </xf>
    <xf numFmtId="49" fontId="26" fillId="0" borderId="4" xfId="0" applyNumberFormat="1" applyFont="1" applyBorder="1" applyAlignment="1">
      <alignment horizontal="center" vertical="center" wrapText="1"/>
    </xf>
    <xf numFmtId="0" fontId="26" fillId="0" borderId="4" xfId="0" applyFont="1" applyBorder="1" applyAlignment="1">
      <alignment horizontal="center" vertical="center" wrapText="1"/>
    </xf>
    <xf numFmtId="167" fontId="25" fillId="0" borderId="4" xfId="0" applyNumberFormat="1" applyFont="1" applyBorder="1" applyAlignment="1">
      <alignment horizontal="center" vertical="center"/>
    </xf>
    <xf numFmtId="172" fontId="65" fillId="4" borderId="1" xfId="4" applyNumberFormat="1" applyFont="1" applyFill="1" applyBorder="1" applyAlignment="1">
      <alignment horizontal="center" vertical="center"/>
    </xf>
    <xf numFmtId="167" fontId="25" fillId="0" borderId="1" xfId="0" applyNumberFormat="1" applyFont="1" applyBorder="1" applyAlignment="1">
      <alignment horizontal="center" vertical="center"/>
    </xf>
    <xf numFmtId="0" fontId="60" fillId="4" borderId="4" xfId="0" applyFont="1" applyFill="1" applyBorder="1" applyAlignment="1">
      <alignment horizontal="left" vertical="center"/>
    </xf>
    <xf numFmtId="171" fontId="27" fillId="5" borderId="4" xfId="0" applyNumberFormat="1" applyFont="1" applyFill="1" applyBorder="1" applyAlignment="1">
      <alignment horizontal="center" vertical="center"/>
    </xf>
    <xf numFmtId="49" fontId="26" fillId="4" borderId="1" xfId="0" applyNumberFormat="1" applyFont="1" applyFill="1" applyBorder="1" applyAlignment="1">
      <alignment horizontal="center" vertical="center" wrapText="1"/>
    </xf>
    <xf numFmtId="0" fontId="26" fillId="0" borderId="5" xfId="0" applyFont="1" applyBorder="1" applyAlignment="1">
      <alignment horizontal="center" vertical="center" wrapText="1"/>
    </xf>
    <xf numFmtId="0" fontId="27" fillId="5" borderId="6" xfId="0" applyFont="1" applyFill="1" applyBorder="1" applyAlignment="1">
      <alignment horizontal="left" vertical="center"/>
    </xf>
    <xf numFmtId="165" fontId="26" fillId="5" borderId="5" xfId="25" applyFont="1" applyFill="1" applyBorder="1" applyAlignment="1">
      <alignment horizontal="center" vertical="center"/>
    </xf>
    <xf numFmtId="172" fontId="25" fillId="5" borderId="5" xfId="25" applyNumberFormat="1" applyFont="1" applyFill="1" applyBorder="1" applyAlignment="1">
      <alignment horizontal="center" vertical="center"/>
    </xf>
    <xf numFmtId="0" fontId="61" fillId="5" borderId="0" xfId="0" applyFont="1" applyFill="1"/>
    <xf numFmtId="0" fontId="60" fillId="4" borderId="2" xfId="0" applyFont="1" applyFill="1" applyBorder="1" applyAlignment="1">
      <alignment horizontal="left" vertical="center"/>
    </xf>
    <xf numFmtId="173" fontId="25" fillId="4" borderId="5" xfId="0" applyNumberFormat="1" applyFont="1" applyFill="1" applyBorder="1" applyAlignment="1">
      <alignment horizontal="center" vertical="center"/>
    </xf>
    <xf numFmtId="0" fontId="67" fillId="0" borderId="8" xfId="0" applyFont="1" applyBorder="1" applyAlignment="1">
      <alignment horizontal="center"/>
    </xf>
    <xf numFmtId="0" fontId="67" fillId="0" borderId="4" xfId="0" applyFont="1" applyBorder="1" applyAlignment="1">
      <alignment horizontal="center"/>
    </xf>
    <xf numFmtId="0" fontId="61" fillId="0" borderId="2" xfId="0" applyFont="1" applyBorder="1" applyAlignment="1">
      <alignment horizontal="center"/>
    </xf>
    <xf numFmtId="165" fontId="61" fillId="0" borderId="1" xfId="4" applyFont="1" applyBorder="1" applyAlignment="1">
      <alignment horizontal="left"/>
    </xf>
    <xf numFmtId="165" fontId="60" fillId="0" borderId="1" xfId="25" applyFont="1" applyBorder="1" applyAlignment="1">
      <alignment horizontal="left"/>
    </xf>
    <xf numFmtId="0" fontId="27" fillId="4" borderId="6" xfId="0" applyFont="1" applyFill="1" applyBorder="1" applyAlignment="1">
      <alignment horizontal="left" vertical="center"/>
    </xf>
    <xf numFmtId="165" fontId="26" fillId="0" borderId="1" xfId="4" applyFont="1" applyBorder="1"/>
    <xf numFmtId="172" fontId="25" fillId="5" borderId="5" xfId="4" applyNumberFormat="1" applyFont="1" applyFill="1" applyBorder="1" applyAlignment="1">
      <alignment horizontal="center" vertical="center"/>
    </xf>
    <xf numFmtId="14" fontId="25" fillId="5" borderId="1" xfId="0" applyNumberFormat="1" applyFont="1" applyFill="1" applyBorder="1" applyAlignment="1">
      <alignment horizontal="center" vertical="center"/>
    </xf>
    <xf numFmtId="0" fontId="25" fillId="0" borderId="1" xfId="0" applyFont="1" applyBorder="1" applyAlignment="1">
      <alignment horizontal="left" vertical="center"/>
    </xf>
    <xf numFmtId="166" fontId="26" fillId="0" borderId="1" xfId="0" applyNumberFormat="1" applyFont="1" applyBorder="1" applyAlignment="1">
      <alignment horizontal="center" vertical="center"/>
    </xf>
    <xf numFmtId="0" fontId="25" fillId="4" borderId="6" xfId="0" applyFont="1" applyFill="1" applyBorder="1" applyAlignment="1">
      <alignment horizontal="left" vertical="center"/>
    </xf>
    <xf numFmtId="165" fontId="26" fillId="0" borderId="1" xfId="4" applyFont="1" applyFill="1" applyBorder="1" applyAlignment="1">
      <alignment horizontal="center" vertical="center"/>
    </xf>
    <xf numFmtId="0" fontId="54" fillId="0" borderId="4" xfId="0" applyFont="1" applyBorder="1" applyAlignment="1">
      <alignment horizontal="center" vertical="center"/>
    </xf>
    <xf numFmtId="0" fontId="26" fillId="4" borderId="36" xfId="0" applyFont="1" applyFill="1" applyBorder="1"/>
    <xf numFmtId="0" fontId="26" fillId="4" borderId="2" xfId="0" applyFont="1" applyFill="1" applyBorder="1"/>
    <xf numFmtId="172" fontId="52" fillId="7" borderId="5" xfId="4" applyNumberFormat="1" applyFont="1" applyFill="1" applyBorder="1" applyAlignment="1">
      <alignment horizontal="center" vertical="center"/>
    </xf>
    <xf numFmtId="171" fontId="53" fillId="0" borderId="1" xfId="0" applyNumberFormat="1" applyFont="1" applyBorder="1" applyAlignment="1">
      <alignment horizontal="center" vertical="center"/>
    </xf>
    <xf numFmtId="0" fontId="2" fillId="0" borderId="0" xfId="576"/>
    <xf numFmtId="171" fontId="68" fillId="0" borderId="0" xfId="576" applyNumberFormat="1" applyFont="1" applyAlignment="1">
      <alignment horizontal="left"/>
    </xf>
    <xf numFmtId="0" fontId="2" fillId="0" borderId="0" xfId="576" applyAlignment="1">
      <alignment horizontal="center" vertical="center"/>
    </xf>
    <xf numFmtId="0" fontId="2" fillId="0" borderId="30" xfId="576" applyBorder="1" applyAlignment="1">
      <alignment horizontal="center" vertical="center" wrapText="1"/>
    </xf>
    <xf numFmtId="3" fontId="2" fillId="0" borderId="1" xfId="576" applyNumberFormat="1" applyBorder="1" applyAlignment="1">
      <alignment horizontal="center" vertical="center" wrapText="1"/>
    </xf>
    <xf numFmtId="3" fontId="2" fillId="8" borderId="1" xfId="576" applyNumberFormat="1" applyFill="1" applyBorder="1" applyAlignment="1">
      <alignment horizontal="center" vertical="center" wrapText="1"/>
    </xf>
    <xf numFmtId="165" fontId="0" fillId="8" borderId="1" xfId="577" applyFont="1" applyFill="1" applyBorder="1" applyAlignment="1">
      <alignment horizontal="center" vertical="center" wrapText="1"/>
    </xf>
    <xf numFmtId="4" fontId="0" fillId="43" borderId="1" xfId="577" applyNumberFormat="1" applyFont="1" applyFill="1" applyBorder="1" applyAlignment="1">
      <alignment horizontal="center" vertical="center" wrapText="1"/>
    </xf>
    <xf numFmtId="3" fontId="2" fillId="43" borderId="1" xfId="576" applyNumberFormat="1" applyFill="1" applyBorder="1" applyAlignment="1">
      <alignment horizontal="center" vertical="center" wrapText="1"/>
    </xf>
    <xf numFmtId="165" fontId="0" fillId="43" borderId="1" xfId="577" applyFont="1" applyFill="1" applyBorder="1" applyAlignment="1">
      <alignment horizontal="center" vertical="center" wrapText="1"/>
    </xf>
    <xf numFmtId="165" fontId="0" fillId="0" borderId="30" xfId="577" applyFont="1" applyFill="1" applyBorder="1" applyAlignment="1">
      <alignment horizontal="center" vertical="center" wrapText="1"/>
    </xf>
    <xf numFmtId="4" fontId="0" fillId="0" borderId="1" xfId="577" applyNumberFormat="1" applyFont="1" applyFill="1" applyBorder="1" applyAlignment="1">
      <alignment horizontal="center" vertical="center" wrapText="1"/>
    </xf>
    <xf numFmtId="3" fontId="0" fillId="0" borderId="1" xfId="577" applyNumberFormat="1" applyFont="1" applyFill="1" applyBorder="1" applyAlignment="1">
      <alignment horizontal="center" vertical="center" wrapText="1"/>
    </xf>
    <xf numFmtId="165" fontId="0" fillId="0" borderId="1" xfId="577" applyFont="1" applyFill="1" applyBorder="1" applyAlignment="1">
      <alignment horizontal="center" vertical="center" wrapText="1"/>
    </xf>
    <xf numFmtId="3" fontId="2" fillId="0" borderId="7" xfId="576" applyNumberFormat="1" applyBorder="1" applyAlignment="1">
      <alignment horizontal="center" vertical="center" wrapText="1"/>
    </xf>
    <xf numFmtId="3" fontId="2" fillId="0" borderId="31" xfId="576" applyNumberFormat="1" applyBorder="1" applyAlignment="1">
      <alignment horizontal="center" vertical="center" wrapText="1"/>
    </xf>
    <xf numFmtId="0" fontId="2" fillId="43" borderId="30" xfId="576" applyFill="1" applyBorder="1" applyAlignment="1">
      <alignment horizontal="center" vertical="center" wrapText="1"/>
    </xf>
    <xf numFmtId="0" fontId="2" fillId="43" borderId="2" xfId="576" applyFill="1" applyBorder="1" applyAlignment="1">
      <alignment horizontal="center" vertical="center" wrapText="1"/>
    </xf>
    <xf numFmtId="3" fontId="0" fillId="43" borderId="1" xfId="577" applyNumberFormat="1" applyFont="1" applyFill="1" applyBorder="1" applyAlignment="1">
      <alignment horizontal="center" vertical="center" wrapText="1"/>
    </xf>
    <xf numFmtId="3" fontId="2" fillId="43" borderId="7" xfId="576" applyNumberFormat="1" applyFill="1" applyBorder="1" applyAlignment="1">
      <alignment horizontal="center" vertical="center" wrapText="1"/>
    </xf>
    <xf numFmtId="3" fontId="2" fillId="43" borderId="31" xfId="576" applyNumberFormat="1" applyFill="1" applyBorder="1" applyAlignment="1">
      <alignment horizontal="center" vertical="center" wrapText="1"/>
    </xf>
    <xf numFmtId="0" fontId="2" fillId="0" borderId="2" xfId="576" applyBorder="1" applyAlignment="1">
      <alignment horizontal="center" vertical="center" wrapText="1"/>
    </xf>
    <xf numFmtId="3" fontId="2" fillId="8" borderId="7" xfId="576" applyNumberFormat="1" applyFill="1" applyBorder="1" applyAlignment="1">
      <alignment horizontal="center" vertical="center" wrapText="1"/>
    </xf>
    <xf numFmtId="3" fontId="2" fillId="8" borderId="31" xfId="576" applyNumberFormat="1" applyFill="1" applyBorder="1" applyAlignment="1">
      <alignment horizontal="center" vertical="center" wrapText="1"/>
    </xf>
    <xf numFmtId="4" fontId="2" fillId="43" borderId="1" xfId="576" applyNumberFormat="1" applyFill="1" applyBorder="1" applyAlignment="1">
      <alignment horizontal="center" vertical="center" wrapText="1"/>
    </xf>
    <xf numFmtId="0" fontId="2" fillId="43" borderId="7" xfId="576" applyFill="1" applyBorder="1" applyAlignment="1">
      <alignment horizontal="center" vertical="center" wrapText="1"/>
    </xf>
    <xf numFmtId="0" fontId="2" fillId="43" borderId="31" xfId="576" applyFill="1" applyBorder="1" applyAlignment="1">
      <alignment horizontal="center" vertical="center" wrapText="1"/>
    </xf>
    <xf numFmtId="0" fontId="2" fillId="0" borderId="0" xfId="576" applyAlignment="1">
      <alignment horizontal="left" vertical="center"/>
    </xf>
    <xf numFmtId="165" fontId="0" fillId="0" borderId="0" xfId="577" applyFont="1"/>
    <xf numFmtId="165" fontId="0" fillId="0" borderId="0" xfId="577" applyFont="1" applyAlignment="1">
      <alignment horizontal="center" vertical="center"/>
    </xf>
    <xf numFmtId="9" fontId="2" fillId="0" borderId="0" xfId="576" applyNumberFormat="1"/>
    <xf numFmtId="165" fontId="0" fillId="8" borderId="5" xfId="577" applyFont="1" applyFill="1" applyBorder="1" applyAlignment="1">
      <alignment horizontal="center" vertical="center" wrapText="1"/>
    </xf>
    <xf numFmtId="165" fontId="0" fillId="43" borderId="5" xfId="577" applyFont="1" applyFill="1" applyBorder="1" applyAlignment="1">
      <alignment horizontal="center" vertical="center" wrapText="1"/>
    </xf>
    <xf numFmtId="0" fontId="2" fillId="0" borderId="0" xfId="576" applyAlignment="1">
      <alignment horizontal="center" vertical="center" wrapText="1"/>
    </xf>
    <xf numFmtId="4" fontId="2" fillId="0" borderId="0" xfId="576" applyNumberFormat="1" applyAlignment="1">
      <alignment horizontal="center" vertical="center" wrapText="1"/>
    </xf>
    <xf numFmtId="3" fontId="2" fillId="0" borderId="0" xfId="576" applyNumberFormat="1" applyAlignment="1">
      <alignment horizontal="center" vertical="center" wrapText="1"/>
    </xf>
    <xf numFmtId="0" fontId="2" fillId="0" borderId="1" xfId="576" applyBorder="1" applyAlignment="1">
      <alignment vertical="center" wrapText="1"/>
    </xf>
    <xf numFmtId="0" fontId="2" fillId="0" borderId="30" xfId="576" applyBorder="1" applyAlignment="1">
      <alignment vertical="center" wrapText="1"/>
    </xf>
    <xf numFmtId="0" fontId="2" fillId="0" borderId="31" xfId="576" applyBorder="1" applyAlignment="1">
      <alignment vertical="center" wrapText="1"/>
    </xf>
    <xf numFmtId="0" fontId="2" fillId="0" borderId="27" xfId="576" applyBorder="1" applyAlignment="1">
      <alignment vertical="center" wrapText="1"/>
    </xf>
    <xf numFmtId="0" fontId="2" fillId="0" borderId="28" xfId="576" applyBorder="1" applyAlignment="1">
      <alignment vertical="center" wrapText="1"/>
    </xf>
    <xf numFmtId="0" fontId="2" fillId="0" borderId="29" xfId="576" applyBorder="1" applyAlignment="1">
      <alignment vertical="center" wrapText="1"/>
    </xf>
    <xf numFmtId="165" fontId="70" fillId="0" borderId="47" xfId="577" applyFont="1" applyFill="1" applyBorder="1" applyAlignment="1">
      <alignment horizontal="center" vertical="center" wrapText="1"/>
    </xf>
    <xf numFmtId="165" fontId="70" fillId="0" borderId="43" xfId="577" applyFont="1" applyFill="1" applyBorder="1" applyAlignment="1">
      <alignment horizontal="center" vertical="center" wrapText="1"/>
    </xf>
    <xf numFmtId="0" fontId="68" fillId="42" borderId="44" xfId="576" applyFont="1" applyFill="1" applyBorder="1" applyAlignment="1">
      <alignment horizontal="center" vertical="center" wrapText="1"/>
    </xf>
    <xf numFmtId="0" fontId="68" fillId="42" borderId="48" xfId="576" applyFont="1" applyFill="1" applyBorder="1" applyAlignment="1">
      <alignment horizontal="center" vertical="center"/>
    </xf>
    <xf numFmtId="0" fontId="68" fillId="42" borderId="49" xfId="576" applyFont="1" applyFill="1" applyBorder="1" applyAlignment="1">
      <alignment horizontal="center" vertical="center" wrapText="1"/>
    </xf>
    <xf numFmtId="0" fontId="68" fillId="42" borderId="46" xfId="576" applyFont="1" applyFill="1" applyBorder="1" applyAlignment="1">
      <alignment horizontal="center" vertical="center" wrapText="1"/>
    </xf>
    <xf numFmtId="0" fontId="68" fillId="42" borderId="45" xfId="576" applyFont="1" applyFill="1" applyBorder="1" applyAlignment="1">
      <alignment horizontal="center" vertical="center" wrapText="1"/>
    </xf>
    <xf numFmtId="165" fontId="61" fillId="0" borderId="0" xfId="0" applyNumberFormat="1" applyFont="1"/>
    <xf numFmtId="0" fontId="27" fillId="4" borderId="1" xfId="0" applyFont="1" applyFill="1" applyBorder="1" applyAlignment="1">
      <alignment horizontal="center" vertical="center"/>
    </xf>
    <xf numFmtId="165" fontId="57" fillId="5" borderId="5" xfId="25" applyFont="1" applyFill="1" applyBorder="1" applyAlignment="1">
      <alignment horizontal="center" vertical="center"/>
    </xf>
    <xf numFmtId="49" fontId="26" fillId="4" borderId="1" xfId="0" applyNumberFormat="1" applyFont="1" applyFill="1" applyBorder="1" applyAlignment="1">
      <alignment horizontal="left" vertical="center"/>
    </xf>
    <xf numFmtId="0" fontId="71" fillId="4" borderId="1" xfId="0" applyFont="1" applyFill="1" applyBorder="1" applyAlignment="1">
      <alignment horizontal="left" vertical="center"/>
    </xf>
    <xf numFmtId="0" fontId="72" fillId="4" borderId="1" xfId="0" applyFont="1" applyFill="1" applyBorder="1" applyAlignment="1">
      <alignment horizontal="center" vertical="center"/>
    </xf>
    <xf numFmtId="166" fontId="72" fillId="4" borderId="1" xfId="0" applyNumberFormat="1" applyFont="1" applyFill="1" applyBorder="1" applyAlignment="1">
      <alignment horizontal="center" vertical="center"/>
    </xf>
    <xf numFmtId="171" fontId="71" fillId="4" borderId="1" xfId="0" applyNumberFormat="1" applyFont="1" applyFill="1" applyBorder="1" applyAlignment="1">
      <alignment horizontal="center" vertical="center"/>
    </xf>
    <xf numFmtId="165" fontId="72" fillId="4" borderId="1" xfId="4" applyFont="1" applyFill="1" applyBorder="1" applyAlignment="1">
      <alignment horizontal="center" vertical="center"/>
    </xf>
    <xf numFmtId="167" fontId="72" fillId="4" borderId="1" xfId="0" applyNumberFormat="1" applyFont="1" applyFill="1" applyBorder="1" applyAlignment="1">
      <alignment horizontal="center" vertical="center"/>
    </xf>
    <xf numFmtId="173" fontId="71" fillId="4" borderId="1" xfId="0" applyNumberFormat="1" applyFont="1" applyFill="1" applyBorder="1" applyAlignment="1">
      <alignment horizontal="center" vertical="center"/>
    </xf>
    <xf numFmtId="167" fontId="71" fillId="4" borderId="1" xfId="0" applyNumberFormat="1" applyFont="1" applyFill="1" applyBorder="1" applyAlignment="1">
      <alignment horizontal="center" vertical="center"/>
    </xf>
    <xf numFmtId="171" fontId="72" fillId="4" borderId="1" xfId="0" applyNumberFormat="1" applyFont="1" applyFill="1" applyBorder="1" applyAlignment="1">
      <alignment horizontal="center" vertical="center"/>
    </xf>
    <xf numFmtId="14" fontId="71" fillId="4" borderId="1" xfId="0" applyNumberFormat="1" applyFont="1" applyFill="1" applyBorder="1" applyAlignment="1">
      <alignment horizontal="center" vertical="center"/>
    </xf>
    <xf numFmtId="172" fontId="73" fillId="4" borderId="1" xfId="4" applyNumberFormat="1" applyFont="1" applyFill="1" applyBorder="1" applyAlignment="1">
      <alignment horizontal="center" vertical="center"/>
    </xf>
    <xf numFmtId="0" fontId="71" fillId="4" borderId="1" xfId="0" applyFont="1" applyFill="1" applyBorder="1" applyAlignment="1">
      <alignment horizontal="center" vertical="center"/>
    </xf>
    <xf numFmtId="0" fontId="71" fillId="6" borderId="3" xfId="0" applyFont="1" applyFill="1" applyBorder="1" applyAlignment="1">
      <alignment horizontal="center" vertical="center"/>
    </xf>
    <xf numFmtId="171" fontId="74" fillId="4" borderId="1" xfId="0" applyNumberFormat="1" applyFont="1" applyFill="1" applyBorder="1" applyAlignment="1">
      <alignment horizontal="center" vertical="center"/>
    </xf>
    <xf numFmtId="0" fontId="72" fillId="4" borderId="1" xfId="0" applyFont="1" applyFill="1" applyBorder="1" applyAlignment="1">
      <alignment horizontal="left"/>
    </xf>
    <xf numFmtId="0" fontId="72" fillId="0" borderId="1" xfId="0" applyFont="1" applyBorder="1" applyAlignment="1">
      <alignment horizontal="center" vertical="center"/>
    </xf>
    <xf numFmtId="0" fontId="76" fillId="38" borderId="1" xfId="0" applyFont="1" applyFill="1" applyBorder="1" applyAlignment="1">
      <alignment horizontal="center" vertical="center"/>
    </xf>
    <xf numFmtId="167" fontId="71" fillId="0" borderId="1" xfId="0" applyNumberFormat="1" applyFont="1" applyBorder="1" applyAlignment="1">
      <alignment horizontal="center" vertical="center"/>
    </xf>
    <xf numFmtId="0" fontId="76" fillId="4" borderId="1" xfId="0" applyFont="1" applyFill="1" applyBorder="1" applyAlignment="1">
      <alignment horizontal="center" vertical="center"/>
    </xf>
    <xf numFmtId="171" fontId="71" fillId="4" borderId="5" xfId="0" applyNumberFormat="1" applyFont="1" applyFill="1" applyBorder="1" applyAlignment="1">
      <alignment horizontal="center" vertical="center"/>
    </xf>
    <xf numFmtId="0" fontId="74" fillId="6" borderId="5" xfId="0" applyFont="1" applyFill="1" applyBorder="1" applyAlignment="1">
      <alignment horizontal="center" vertical="center"/>
    </xf>
    <xf numFmtId="0" fontId="71" fillId="5" borderId="1" xfId="0" applyFont="1" applyFill="1" applyBorder="1" applyAlignment="1">
      <alignment horizontal="left" vertical="center"/>
    </xf>
    <xf numFmtId="0" fontId="72" fillId="5" borderId="1" xfId="0" applyFont="1" applyFill="1" applyBorder="1" applyAlignment="1">
      <alignment horizontal="center" vertical="center"/>
    </xf>
    <xf numFmtId="166" fontId="72" fillId="5" borderId="1" xfId="0" applyNumberFormat="1" applyFont="1" applyFill="1" applyBorder="1" applyAlignment="1">
      <alignment horizontal="center" vertical="center"/>
    </xf>
    <xf numFmtId="171" fontId="71" fillId="5" borderId="1" xfId="0" applyNumberFormat="1" applyFont="1" applyFill="1" applyBorder="1" applyAlignment="1">
      <alignment horizontal="center" vertical="center"/>
    </xf>
    <xf numFmtId="165" fontId="72" fillId="5" borderId="1" xfId="4" applyFont="1" applyFill="1" applyBorder="1" applyAlignment="1">
      <alignment horizontal="center" vertical="center"/>
    </xf>
    <xf numFmtId="167" fontId="71" fillId="5" borderId="1" xfId="0" applyNumberFormat="1" applyFont="1" applyFill="1" applyBorder="1" applyAlignment="1">
      <alignment horizontal="center" vertical="center"/>
    </xf>
    <xf numFmtId="173" fontId="71" fillId="5" borderId="1" xfId="0" applyNumberFormat="1" applyFont="1" applyFill="1" applyBorder="1" applyAlignment="1">
      <alignment horizontal="center" vertical="center"/>
    </xf>
    <xf numFmtId="0" fontId="71" fillId="5" borderId="1" xfId="0" applyFont="1" applyFill="1" applyBorder="1" applyAlignment="1">
      <alignment horizontal="center" vertical="center"/>
    </xf>
    <xf numFmtId="171" fontId="72" fillId="5" borderId="1" xfId="0" applyNumberFormat="1" applyFont="1" applyFill="1" applyBorder="1" applyAlignment="1">
      <alignment horizontal="center" vertical="center"/>
    </xf>
    <xf numFmtId="172" fontId="71" fillId="5" borderId="1" xfId="4" applyNumberFormat="1" applyFont="1" applyFill="1" applyBorder="1" applyAlignment="1">
      <alignment horizontal="center" vertical="center"/>
    </xf>
    <xf numFmtId="0" fontId="74" fillId="6" borderId="1" xfId="0" applyFont="1" applyFill="1" applyBorder="1" applyAlignment="1">
      <alignment horizontal="center" vertical="center"/>
    </xf>
    <xf numFmtId="167" fontId="72" fillId="0" borderId="1" xfId="0" applyNumberFormat="1" applyFont="1" applyBorder="1" applyAlignment="1">
      <alignment horizontal="center" vertical="center"/>
    </xf>
    <xf numFmtId="171" fontId="73" fillId="8" borderId="1" xfId="0" applyNumberFormat="1" applyFont="1" applyFill="1" applyBorder="1" applyAlignment="1">
      <alignment horizontal="center" vertical="center"/>
    </xf>
    <xf numFmtId="166" fontId="72" fillId="4" borderId="5" xfId="0" applyNumberFormat="1" applyFont="1" applyFill="1" applyBorder="1" applyAlignment="1">
      <alignment horizontal="center" vertical="center"/>
    </xf>
    <xf numFmtId="0" fontId="72" fillId="4" borderId="5" xfId="0" applyFont="1" applyFill="1" applyBorder="1" applyAlignment="1">
      <alignment horizontal="center" vertical="center"/>
    </xf>
    <xf numFmtId="0" fontId="72" fillId="0" borderId="1" xfId="0" applyFont="1" applyBorder="1" applyAlignment="1">
      <alignment horizontal="center"/>
    </xf>
    <xf numFmtId="166" fontId="72" fillId="4" borderId="5" xfId="0" applyNumberFormat="1" applyFont="1" applyFill="1" applyBorder="1" applyAlignment="1">
      <alignment vertical="center"/>
    </xf>
    <xf numFmtId="0" fontId="72" fillId="0" borderId="1" xfId="0" applyFont="1" applyBorder="1"/>
    <xf numFmtId="167" fontId="72" fillId="4" borderId="5" xfId="0" applyNumberFormat="1" applyFont="1" applyFill="1" applyBorder="1" applyAlignment="1">
      <alignment horizontal="center" vertical="center"/>
    </xf>
    <xf numFmtId="171" fontId="72" fillId="4" borderId="4" xfId="0" applyNumberFormat="1" applyFont="1" applyFill="1" applyBorder="1" applyAlignment="1">
      <alignment horizontal="center" vertical="center"/>
    </xf>
    <xf numFmtId="172" fontId="73" fillId="4" borderId="1" xfId="25" applyNumberFormat="1" applyFont="1" applyFill="1" applyBorder="1" applyAlignment="1">
      <alignment horizontal="center" vertical="center"/>
    </xf>
    <xf numFmtId="0" fontId="72" fillId="4" borderId="4" xfId="0" applyFont="1" applyFill="1" applyBorder="1" applyAlignment="1">
      <alignment horizontal="left" vertical="center"/>
    </xf>
    <xf numFmtId="166" fontId="72" fillId="5" borderId="5" xfId="0" applyNumberFormat="1" applyFont="1" applyFill="1" applyBorder="1" applyAlignment="1">
      <alignment horizontal="center" vertical="center"/>
    </xf>
    <xf numFmtId="0" fontId="72" fillId="5" borderId="5" xfId="0" applyFont="1" applyFill="1" applyBorder="1" applyAlignment="1">
      <alignment horizontal="center" vertical="center"/>
    </xf>
    <xf numFmtId="167" fontId="71" fillId="5" borderId="5" xfId="0" applyNumberFormat="1" applyFont="1" applyFill="1" applyBorder="1" applyAlignment="1">
      <alignment horizontal="center" vertical="center"/>
    </xf>
    <xf numFmtId="0" fontId="72" fillId="0" borderId="4" xfId="0" applyFont="1" applyBorder="1"/>
    <xf numFmtId="173" fontId="71" fillId="4" borderId="5" xfId="0" applyNumberFormat="1" applyFont="1" applyFill="1" applyBorder="1" applyAlignment="1">
      <alignment horizontal="center" vertical="center"/>
    </xf>
    <xf numFmtId="0" fontId="71" fillId="4" borderId="5" xfId="0" applyFont="1" applyFill="1" applyBorder="1" applyAlignment="1">
      <alignment horizontal="center" vertical="center"/>
    </xf>
    <xf numFmtId="172" fontId="73" fillId="4" borderId="5" xfId="4" applyNumberFormat="1" applyFont="1" applyFill="1" applyBorder="1" applyAlignment="1">
      <alignment horizontal="center" vertical="center"/>
    </xf>
    <xf numFmtId="0" fontId="72" fillId="0" borderId="5" xfId="0" applyFont="1" applyBorder="1" applyAlignment="1">
      <alignment horizontal="center" vertical="center"/>
    </xf>
    <xf numFmtId="165" fontId="72" fillId="4" borderId="5" xfId="4" applyFont="1" applyFill="1" applyBorder="1" applyAlignment="1">
      <alignment horizontal="center" vertical="center"/>
    </xf>
    <xf numFmtId="171" fontId="72" fillId="5" borderId="4" xfId="0" applyNumberFormat="1" applyFont="1" applyFill="1" applyBorder="1" applyAlignment="1">
      <alignment horizontal="center" vertical="center"/>
    </xf>
    <xf numFmtId="49" fontId="72" fillId="4" borderId="4" xfId="0" applyNumberFormat="1" applyFont="1" applyFill="1" applyBorder="1" applyAlignment="1">
      <alignment horizontal="left" vertical="center"/>
    </xf>
    <xf numFmtId="165" fontId="72" fillId="0" borderId="1" xfId="4" applyFont="1" applyBorder="1"/>
    <xf numFmtId="0" fontId="72" fillId="4" borderId="1" xfId="0" applyFont="1" applyFill="1" applyBorder="1" applyAlignment="1">
      <alignment horizontal="center"/>
    </xf>
    <xf numFmtId="173" fontId="71" fillId="5" borderId="4" xfId="0" applyNumberFormat="1" applyFont="1" applyFill="1" applyBorder="1" applyAlignment="1">
      <alignment horizontal="center" vertical="center"/>
    </xf>
    <xf numFmtId="167" fontId="71" fillId="5" borderId="4" xfId="0" applyNumberFormat="1" applyFont="1" applyFill="1" applyBorder="1" applyAlignment="1">
      <alignment horizontal="center" vertical="center"/>
    </xf>
    <xf numFmtId="0" fontId="71" fillId="5" borderId="4" xfId="0" applyFont="1" applyFill="1" applyBorder="1" applyAlignment="1">
      <alignment horizontal="center" vertical="center"/>
    </xf>
    <xf numFmtId="0" fontId="72" fillId="4" borderId="4" xfId="0" applyFont="1" applyFill="1" applyBorder="1" applyAlignment="1">
      <alignment horizontal="left"/>
    </xf>
    <xf numFmtId="0" fontId="72" fillId="4" borderId="4" xfId="0" applyFont="1" applyFill="1" applyBorder="1"/>
    <xf numFmtId="171" fontId="71" fillId="4" borderId="4" xfId="0" applyNumberFormat="1" applyFont="1" applyFill="1" applyBorder="1" applyAlignment="1">
      <alignment horizontal="center" vertical="center"/>
    </xf>
    <xf numFmtId="14" fontId="71" fillId="4" borderId="4" xfId="0" applyNumberFormat="1" applyFont="1" applyFill="1" applyBorder="1" applyAlignment="1">
      <alignment horizontal="center" vertical="center"/>
    </xf>
    <xf numFmtId="167" fontId="72" fillId="4" borderId="4" xfId="0" applyNumberFormat="1" applyFont="1" applyFill="1" applyBorder="1" applyAlignment="1">
      <alignment horizontal="center" vertical="center"/>
    </xf>
    <xf numFmtId="0" fontId="71" fillId="0" borderId="1" xfId="0" applyFont="1" applyBorder="1" applyAlignment="1">
      <alignment horizontal="left" vertical="center"/>
    </xf>
    <xf numFmtId="166" fontId="72" fillId="0" borderId="1" xfId="0" applyNumberFormat="1" applyFont="1" applyBorder="1" applyAlignment="1">
      <alignment horizontal="center" vertical="center"/>
    </xf>
    <xf numFmtId="171" fontId="71" fillId="0" borderId="1" xfId="0" applyNumberFormat="1" applyFont="1" applyBorder="1" applyAlignment="1">
      <alignment horizontal="center" vertical="center"/>
    </xf>
    <xf numFmtId="165" fontId="72" fillId="0" borderId="1" xfId="4" applyFont="1" applyFill="1" applyBorder="1" applyAlignment="1">
      <alignment horizontal="center" vertical="center"/>
    </xf>
    <xf numFmtId="0" fontId="71" fillId="0" borderId="1" xfId="0" applyFont="1" applyBorder="1" applyAlignment="1">
      <alignment horizontal="center" vertical="center"/>
    </xf>
    <xf numFmtId="0" fontId="76" fillId="0" borderId="4" xfId="0" applyFont="1" applyBorder="1" applyAlignment="1">
      <alignment horizontal="center" vertical="center"/>
    </xf>
    <xf numFmtId="172" fontId="73" fillId="0" borderId="1" xfId="4" applyNumberFormat="1" applyFont="1" applyFill="1" applyBorder="1" applyAlignment="1">
      <alignment horizontal="center" vertical="center"/>
    </xf>
    <xf numFmtId="173" fontId="72" fillId="0" borderId="1" xfId="0" applyNumberFormat="1" applyFont="1" applyBorder="1" applyAlignment="1">
      <alignment horizontal="center" vertical="center"/>
    </xf>
    <xf numFmtId="166" fontId="72" fillId="4" borderId="4" xfId="0" applyNumberFormat="1" applyFont="1" applyFill="1" applyBorder="1" applyAlignment="1">
      <alignment horizontal="center" vertical="center"/>
    </xf>
    <xf numFmtId="165" fontId="0" fillId="43" borderId="40" xfId="577" applyFont="1" applyFill="1" applyBorder="1" applyAlignment="1">
      <alignment horizontal="center" vertical="center" wrapText="1"/>
    </xf>
    <xf numFmtId="0" fontId="25" fillId="4" borderId="2" xfId="0" applyFont="1" applyFill="1" applyBorder="1" applyAlignment="1">
      <alignment horizontal="left" vertical="center"/>
    </xf>
    <xf numFmtId="165" fontId="26" fillId="0" borderId="1" xfId="4" applyFont="1" applyBorder="1" applyAlignment="1">
      <alignment horizontal="center"/>
    </xf>
    <xf numFmtId="0" fontId="25" fillId="7" borderId="1" xfId="0" applyFont="1" applyFill="1" applyBorder="1" applyAlignment="1">
      <alignment horizontal="center"/>
    </xf>
    <xf numFmtId="165" fontId="26" fillId="7" borderId="1" xfId="4" applyFont="1" applyFill="1" applyBorder="1" applyAlignment="1">
      <alignment horizontal="center"/>
    </xf>
    <xf numFmtId="165" fontId="26" fillId="7" borderId="1" xfId="4" applyFont="1" applyFill="1" applyBorder="1"/>
    <xf numFmtId="0" fontId="57" fillId="0" borderId="1" xfId="0" applyFont="1" applyBorder="1"/>
    <xf numFmtId="0" fontId="57" fillId="4" borderId="1" xfId="0" applyFont="1" applyFill="1" applyBorder="1"/>
    <xf numFmtId="0" fontId="27" fillId="4" borderId="2" xfId="0" applyFont="1" applyFill="1" applyBorder="1" applyAlignment="1">
      <alignment horizontal="left" vertical="center"/>
    </xf>
    <xf numFmtId="0" fontId="71" fillId="4" borderId="0" xfId="0" applyFont="1" applyFill="1" applyAlignment="1">
      <alignment horizontal="left" vertical="center"/>
    </xf>
    <xf numFmtId="0" fontId="72" fillId="4" borderId="0" xfId="0" applyFont="1" applyFill="1" applyAlignment="1">
      <alignment horizontal="center" vertical="center"/>
    </xf>
    <xf numFmtId="166" fontId="72" fillId="4" borderId="0" xfId="0" applyNumberFormat="1" applyFont="1" applyFill="1" applyAlignment="1">
      <alignment horizontal="center" vertical="center"/>
    </xf>
    <xf numFmtId="0" fontId="72" fillId="0" borderId="0" xfId="0" applyFont="1" applyAlignment="1">
      <alignment horizontal="center" vertical="center"/>
    </xf>
    <xf numFmtId="171" fontId="71" fillId="4" borderId="0" xfId="0" applyNumberFormat="1" applyFont="1" applyFill="1" applyAlignment="1">
      <alignment horizontal="center" vertical="center"/>
    </xf>
    <xf numFmtId="0" fontId="76" fillId="38" borderId="0" xfId="0" applyFont="1" applyFill="1" applyAlignment="1">
      <alignment horizontal="center" vertical="center"/>
    </xf>
    <xf numFmtId="165" fontId="72" fillId="4" borderId="0" xfId="4" applyFont="1" applyFill="1" applyBorder="1" applyAlignment="1">
      <alignment horizontal="center" vertical="center"/>
    </xf>
    <xf numFmtId="167" fontId="72" fillId="0" borderId="0" xfId="0" applyNumberFormat="1" applyFont="1" applyAlignment="1">
      <alignment horizontal="center" vertical="center"/>
    </xf>
    <xf numFmtId="173" fontId="71" fillId="4" borderId="0" xfId="0" applyNumberFormat="1" applyFont="1" applyFill="1" applyAlignment="1">
      <alignment horizontal="center" vertical="center"/>
    </xf>
    <xf numFmtId="167" fontId="72" fillId="4" borderId="0" xfId="0" applyNumberFormat="1" applyFont="1" applyFill="1" applyAlignment="1">
      <alignment horizontal="center" vertical="center"/>
    </xf>
    <xf numFmtId="0" fontId="71" fillId="4" borderId="0" xfId="0" applyFont="1" applyFill="1" applyAlignment="1">
      <alignment horizontal="center" vertical="center"/>
    </xf>
    <xf numFmtId="0" fontId="76" fillId="4" borderId="0" xfId="0" applyFont="1" applyFill="1" applyAlignment="1">
      <alignment horizontal="center" vertical="center"/>
    </xf>
    <xf numFmtId="172" fontId="73" fillId="4" borderId="0" xfId="4" applyNumberFormat="1" applyFont="1" applyFill="1" applyBorder="1" applyAlignment="1">
      <alignment horizontal="center" vertical="center"/>
    </xf>
    <xf numFmtId="0" fontId="72" fillId="4" borderId="0" xfId="0" applyFont="1" applyFill="1" applyAlignment="1">
      <alignment horizontal="left"/>
    </xf>
    <xf numFmtId="171" fontId="59" fillId="4" borderId="0" xfId="0" applyNumberFormat="1" applyFont="1" applyFill="1" applyAlignment="1">
      <alignment horizontal="center" vertical="center"/>
    </xf>
    <xf numFmtId="0" fontId="57" fillId="4" borderId="1" xfId="0" applyFont="1" applyFill="1" applyBorder="1" applyAlignment="1">
      <alignment horizontal="left"/>
    </xf>
    <xf numFmtId="0" fontId="2" fillId="43" borderId="4" xfId="576" applyFill="1" applyBorder="1" applyAlignment="1">
      <alignment horizontal="center" vertical="center" wrapText="1"/>
    </xf>
    <xf numFmtId="0" fontId="73" fillId="5" borderId="1" xfId="0" applyFont="1" applyFill="1" applyBorder="1" applyAlignment="1">
      <alignment horizontal="left" vertical="center"/>
    </xf>
    <xf numFmtId="0" fontId="73" fillId="4" borderId="1" xfId="0" applyFont="1" applyFill="1" applyBorder="1" applyAlignment="1">
      <alignment horizontal="left" vertical="center"/>
    </xf>
    <xf numFmtId="0" fontId="71" fillId="7" borderId="1" xfId="0" applyFont="1" applyFill="1" applyBorder="1" applyAlignment="1">
      <alignment horizontal="left" vertical="center"/>
    </xf>
    <xf numFmtId="0" fontId="72" fillId="7" borderId="5" xfId="0" applyFont="1" applyFill="1" applyBorder="1" applyAlignment="1">
      <alignment horizontal="center" vertical="center"/>
    </xf>
    <xf numFmtId="0" fontId="76" fillId="37" borderId="1" xfId="0" applyFont="1" applyFill="1" applyBorder="1" applyAlignment="1">
      <alignment horizontal="center" vertical="center"/>
    </xf>
    <xf numFmtId="0" fontId="72" fillId="7" borderId="1" xfId="0" applyFont="1" applyFill="1" applyBorder="1" applyAlignment="1">
      <alignment horizontal="center" vertical="center"/>
    </xf>
    <xf numFmtId="167" fontId="72" fillId="7" borderId="1" xfId="0" applyNumberFormat="1" applyFont="1" applyFill="1" applyBorder="1" applyAlignment="1">
      <alignment horizontal="center" vertical="center"/>
    </xf>
    <xf numFmtId="173" fontId="71" fillId="7" borderId="1" xfId="0" applyNumberFormat="1" applyFont="1" applyFill="1" applyBorder="1" applyAlignment="1">
      <alignment horizontal="center" vertical="center"/>
    </xf>
    <xf numFmtId="0" fontId="71" fillId="7" borderId="1" xfId="0" applyFont="1" applyFill="1" applyBorder="1" applyAlignment="1">
      <alignment horizontal="center" vertical="center"/>
    </xf>
    <xf numFmtId="0" fontId="76" fillId="7" borderId="1" xfId="0" applyFont="1" applyFill="1" applyBorder="1" applyAlignment="1">
      <alignment horizontal="center" vertical="center"/>
    </xf>
    <xf numFmtId="171" fontId="71" fillId="7" borderId="1" xfId="0" applyNumberFormat="1" applyFont="1" applyFill="1" applyBorder="1" applyAlignment="1">
      <alignment horizontal="center" vertical="center"/>
    </xf>
    <xf numFmtId="0" fontId="1" fillId="0" borderId="4" xfId="576" applyFont="1" applyBorder="1" applyAlignment="1">
      <alignment horizontal="center" vertical="center" wrapText="1"/>
    </xf>
    <xf numFmtId="0" fontId="26" fillId="0" borderId="5" xfId="0" applyFont="1" applyBorder="1" applyAlignment="1">
      <alignment horizontal="center"/>
    </xf>
    <xf numFmtId="0" fontId="26" fillId="0" borderId="5" xfId="0" applyFont="1" applyBorder="1"/>
    <xf numFmtId="171" fontId="26" fillId="4" borderId="1" xfId="0" applyNumberFormat="1" applyFont="1" applyFill="1" applyBorder="1" applyAlignment="1">
      <alignment horizontal="center" vertical="center" wrapText="1"/>
    </xf>
    <xf numFmtId="0" fontId="73" fillId="7" borderId="1" xfId="0" applyFont="1" applyFill="1" applyBorder="1" applyAlignment="1">
      <alignment horizontal="left" vertical="center"/>
    </xf>
    <xf numFmtId="166" fontId="72" fillId="7" borderId="1" xfId="0" applyNumberFormat="1" applyFont="1" applyFill="1" applyBorder="1" applyAlignment="1">
      <alignment horizontal="center" vertical="center"/>
    </xf>
    <xf numFmtId="171" fontId="73" fillId="4" borderId="1" xfId="0" applyNumberFormat="1" applyFont="1" applyFill="1" applyBorder="1" applyAlignment="1">
      <alignment horizontal="center" vertical="center"/>
    </xf>
    <xf numFmtId="172" fontId="71" fillId="4" borderId="1" xfId="25" applyNumberFormat="1" applyFont="1" applyFill="1" applyBorder="1" applyAlignment="1">
      <alignment horizontal="center" vertical="center"/>
    </xf>
    <xf numFmtId="0" fontId="72" fillId="4" borderId="0" xfId="0" applyFont="1" applyFill="1"/>
    <xf numFmtId="0" fontId="73" fillId="4" borderId="6" xfId="0" applyFont="1" applyFill="1" applyBorder="1" applyAlignment="1">
      <alignment horizontal="left" vertical="center"/>
    </xf>
    <xf numFmtId="14" fontId="72" fillId="4" borderId="5" xfId="0" applyNumberFormat="1" applyFont="1" applyFill="1" applyBorder="1" applyAlignment="1">
      <alignment horizontal="center" vertical="center"/>
    </xf>
    <xf numFmtId="172" fontId="55" fillId="4" borderId="5" xfId="4" applyNumberFormat="1" applyFont="1" applyFill="1" applyBorder="1" applyAlignment="1">
      <alignment horizontal="center" vertical="center"/>
    </xf>
    <xf numFmtId="173" fontId="26" fillId="5" borderId="1" xfId="0" applyNumberFormat="1" applyFont="1" applyFill="1" applyBorder="1" applyAlignment="1">
      <alignment horizontal="center" vertical="center"/>
    </xf>
    <xf numFmtId="171" fontId="73" fillId="7" borderId="1" xfId="0" applyNumberFormat="1" applyFont="1" applyFill="1" applyBorder="1" applyAlignment="1">
      <alignment horizontal="center" vertical="center"/>
    </xf>
    <xf numFmtId="172" fontId="27" fillId="4" borderId="1" xfId="4" applyNumberFormat="1" applyFont="1" applyFill="1" applyBorder="1" applyAlignment="1">
      <alignment horizontal="center" vertical="center"/>
    </xf>
    <xf numFmtId="0" fontId="73" fillId="0" borderId="1" xfId="0" applyFont="1" applyBorder="1" applyAlignment="1">
      <alignment horizontal="left" vertical="center"/>
    </xf>
    <xf numFmtId="167" fontId="72" fillId="5" borderId="1" xfId="0" applyNumberFormat="1" applyFont="1" applyFill="1" applyBorder="1" applyAlignment="1">
      <alignment horizontal="center" vertical="center"/>
    </xf>
    <xf numFmtId="0" fontId="72" fillId="0" borderId="5" xfId="0" applyFont="1" applyBorder="1" applyAlignment="1">
      <alignment horizontal="center"/>
    </xf>
    <xf numFmtId="0" fontId="72" fillId="0" borderId="5" xfId="0" applyFont="1" applyBorder="1"/>
    <xf numFmtId="0" fontId="73" fillId="7" borderId="1" xfId="0" applyFont="1" applyFill="1" applyBorder="1" applyAlignment="1">
      <alignment vertical="center"/>
    </xf>
    <xf numFmtId="166" fontId="76" fillId="7" borderId="1" xfId="0" applyNumberFormat="1" applyFont="1" applyFill="1" applyBorder="1" applyAlignment="1">
      <alignment horizontal="center" vertical="center"/>
    </xf>
    <xf numFmtId="0" fontId="76" fillId="7" borderId="1" xfId="0" applyFont="1" applyFill="1" applyBorder="1" applyAlignment="1">
      <alignment horizontal="center" vertical="center" wrapText="1"/>
    </xf>
    <xf numFmtId="0" fontId="26" fillId="7" borderId="5" xfId="0" applyFont="1" applyFill="1" applyBorder="1" applyAlignment="1">
      <alignment horizontal="center" vertical="center"/>
    </xf>
    <xf numFmtId="0" fontId="72" fillId="4" borderId="0" xfId="0" applyFont="1" applyFill="1" applyAlignment="1">
      <alignment horizontal="center"/>
    </xf>
    <xf numFmtId="49" fontId="26" fillId="4" borderId="4" xfId="0" applyNumberFormat="1" applyFont="1" applyFill="1" applyBorder="1" applyAlignment="1">
      <alignment horizontal="left" vertical="center"/>
    </xf>
    <xf numFmtId="172" fontId="77" fillId="4" borderId="1" xfId="4" applyNumberFormat="1" applyFont="1" applyFill="1" applyBorder="1" applyAlignment="1">
      <alignment horizontal="center" vertical="center"/>
    </xf>
    <xf numFmtId="0" fontId="71" fillId="4" borderId="2" xfId="0" applyFont="1" applyFill="1" applyBorder="1" applyAlignment="1">
      <alignment horizontal="left" vertical="center"/>
    </xf>
    <xf numFmtId="165" fontId="72" fillId="7" borderId="1" xfId="4" applyFont="1" applyFill="1" applyBorder="1" applyAlignment="1">
      <alignment horizontal="center" vertical="center"/>
    </xf>
    <xf numFmtId="167" fontId="71" fillId="7" borderId="1" xfId="0" applyNumberFormat="1" applyFont="1" applyFill="1" applyBorder="1" applyAlignment="1">
      <alignment horizontal="center" vertical="center"/>
    </xf>
    <xf numFmtId="173" fontId="71" fillId="7" borderId="4" xfId="0" applyNumberFormat="1" applyFont="1" applyFill="1" applyBorder="1" applyAlignment="1">
      <alignment horizontal="center" vertical="center"/>
    </xf>
    <xf numFmtId="167" fontId="71" fillId="7" borderId="5" xfId="0" applyNumberFormat="1" applyFont="1" applyFill="1" applyBorder="1" applyAlignment="1">
      <alignment horizontal="center" vertical="center"/>
    </xf>
    <xf numFmtId="171" fontId="72" fillId="7" borderId="4" xfId="0" applyNumberFormat="1" applyFont="1" applyFill="1" applyBorder="1" applyAlignment="1">
      <alignment horizontal="center" vertical="center"/>
    </xf>
    <xf numFmtId="15" fontId="71" fillId="7" borderId="4" xfId="0" applyNumberFormat="1" applyFont="1" applyFill="1" applyBorder="1" applyAlignment="1">
      <alignment horizontal="center" vertical="center"/>
    </xf>
    <xf numFmtId="0" fontId="76" fillId="4" borderId="4" xfId="0" applyFont="1" applyFill="1" applyBorder="1" applyAlignment="1">
      <alignment horizontal="center" vertical="center"/>
    </xf>
    <xf numFmtId="0" fontId="72" fillId="4" borderId="4" xfId="0" applyFont="1" applyFill="1" applyBorder="1" applyAlignment="1">
      <alignment horizontal="center" vertical="center"/>
    </xf>
    <xf numFmtId="171" fontId="73" fillId="8" borderId="5" xfId="0" applyNumberFormat="1" applyFont="1" applyFill="1" applyBorder="1" applyAlignment="1">
      <alignment horizontal="center" vertical="center"/>
    </xf>
    <xf numFmtId="171" fontId="71" fillId="8" borderId="1" xfId="0" applyNumberFormat="1" applyFont="1" applyFill="1" applyBorder="1" applyAlignment="1">
      <alignment horizontal="center" vertical="center"/>
    </xf>
    <xf numFmtId="0" fontId="71" fillId="0" borderId="5" xfId="0" applyFont="1" applyBorder="1" applyAlignment="1">
      <alignment horizontal="center"/>
    </xf>
    <xf numFmtId="165" fontId="72" fillId="0" borderId="5" xfId="4" applyFont="1" applyBorder="1"/>
    <xf numFmtId="171" fontId="72" fillId="4" borderId="22" xfId="0" applyNumberFormat="1" applyFont="1" applyFill="1" applyBorder="1" applyAlignment="1">
      <alignment horizontal="center" vertical="center"/>
    </xf>
    <xf numFmtId="0" fontId="71" fillId="4" borderId="22" xfId="0" applyFont="1" applyFill="1" applyBorder="1" applyAlignment="1">
      <alignment horizontal="center" vertical="center"/>
    </xf>
    <xf numFmtId="172" fontId="73" fillId="4" borderId="22" xfId="25" applyNumberFormat="1" applyFont="1" applyFill="1" applyBorder="1" applyAlignment="1">
      <alignment horizontal="center" vertical="center"/>
    </xf>
    <xf numFmtId="0" fontId="72" fillId="5" borderId="5" xfId="0" applyFont="1" applyFill="1" applyBorder="1" applyAlignment="1">
      <alignment horizontal="center"/>
    </xf>
    <xf numFmtId="171" fontId="73" fillId="5" borderId="5" xfId="0" applyNumberFormat="1" applyFont="1" applyFill="1" applyBorder="1" applyAlignment="1">
      <alignment horizontal="center" vertical="center"/>
    </xf>
    <xf numFmtId="0" fontId="71" fillId="5" borderId="5" xfId="0" applyFont="1" applyFill="1" applyBorder="1" applyAlignment="1">
      <alignment horizontal="center"/>
    </xf>
    <xf numFmtId="0" fontId="72" fillId="5" borderId="5" xfId="0" applyFont="1" applyFill="1" applyBorder="1"/>
    <xf numFmtId="165" fontId="72" fillId="5" borderId="5" xfId="4" applyFont="1" applyFill="1" applyBorder="1"/>
    <xf numFmtId="167" fontId="72" fillId="5" borderId="5" xfId="0" applyNumberFormat="1" applyFont="1" applyFill="1" applyBorder="1" applyAlignment="1">
      <alignment horizontal="center" vertical="center"/>
    </xf>
    <xf numFmtId="171" fontId="71" fillId="5" borderId="5" xfId="0" applyNumberFormat="1" applyFont="1" applyFill="1" applyBorder="1" applyAlignment="1">
      <alignment horizontal="center" vertical="center"/>
    </xf>
    <xf numFmtId="171" fontId="72" fillId="5" borderId="22" xfId="0" applyNumberFormat="1" applyFont="1" applyFill="1" applyBorder="1" applyAlignment="1">
      <alignment horizontal="center" vertical="center"/>
    </xf>
    <xf numFmtId="0" fontId="71" fillId="5" borderId="22" xfId="0" applyFont="1" applyFill="1" applyBorder="1" applyAlignment="1">
      <alignment horizontal="center" vertical="center"/>
    </xf>
    <xf numFmtId="171" fontId="71" fillId="0" borderId="4" xfId="0" applyNumberFormat="1" applyFont="1" applyBorder="1" applyAlignment="1">
      <alignment horizontal="center" vertical="center"/>
    </xf>
    <xf numFmtId="171" fontId="59" fillId="4" borderId="23" xfId="0" applyNumberFormat="1" applyFont="1" applyFill="1" applyBorder="1" applyAlignment="1">
      <alignment horizontal="center" vertical="center"/>
    </xf>
    <xf numFmtId="165" fontId="72" fillId="5" borderId="5" xfId="4" applyFont="1" applyFill="1" applyBorder="1" applyAlignment="1">
      <alignment horizontal="center" vertical="center"/>
    </xf>
    <xf numFmtId="173" fontId="71" fillId="5" borderId="5" xfId="0" applyNumberFormat="1" applyFont="1" applyFill="1" applyBorder="1" applyAlignment="1">
      <alignment horizontal="center" vertical="center"/>
    </xf>
    <xf numFmtId="0" fontId="71" fillId="5" borderId="5" xfId="0" applyFont="1" applyFill="1" applyBorder="1" applyAlignment="1">
      <alignment horizontal="center" vertical="center"/>
    </xf>
    <xf numFmtId="0" fontId="71" fillId="4" borderId="4" xfId="0" applyFont="1" applyFill="1" applyBorder="1" applyAlignment="1">
      <alignment horizontal="center" vertical="center"/>
    </xf>
    <xf numFmtId="174" fontId="72" fillId="5" borderId="1" xfId="0" applyNumberFormat="1" applyFont="1" applyFill="1" applyBorder="1" applyAlignment="1">
      <alignment horizontal="center" vertical="center"/>
    </xf>
    <xf numFmtId="174" fontId="25" fillId="5" borderId="1" xfId="0" applyNumberFormat="1" applyFont="1" applyFill="1" applyBorder="1" applyAlignment="1">
      <alignment horizontal="center" vertical="center"/>
    </xf>
    <xf numFmtId="174" fontId="26" fillId="5" borderId="1" xfId="0" applyNumberFormat="1" applyFont="1" applyFill="1" applyBorder="1" applyAlignment="1">
      <alignment horizontal="center" vertical="center"/>
    </xf>
    <xf numFmtId="174" fontId="71" fillId="5" borderId="1" xfId="0" applyNumberFormat="1" applyFont="1" applyFill="1" applyBorder="1" applyAlignment="1">
      <alignment horizontal="center" vertical="center"/>
    </xf>
    <xf numFmtId="0" fontId="72" fillId="0" borderId="5" xfId="0" applyFont="1" applyBorder="1" applyAlignment="1">
      <alignment vertical="center"/>
    </xf>
    <xf numFmtId="0" fontId="74" fillId="4" borderId="23" xfId="0" applyFont="1" applyFill="1" applyBorder="1" applyAlignment="1">
      <alignment vertical="center"/>
    </xf>
    <xf numFmtId="0" fontId="72" fillId="5" borderId="1" xfId="0" applyFont="1" applyFill="1" applyBorder="1" applyAlignment="1">
      <alignment horizontal="center"/>
    </xf>
    <xf numFmtId="171" fontId="73" fillId="5" borderId="1" xfId="0" applyNumberFormat="1" applyFont="1" applyFill="1" applyBorder="1" applyAlignment="1">
      <alignment horizontal="center" vertical="center"/>
    </xf>
    <xf numFmtId="0" fontId="71" fillId="5" borderId="1" xfId="0" applyFont="1" applyFill="1" applyBorder="1" applyAlignment="1">
      <alignment horizontal="center"/>
    </xf>
    <xf numFmtId="14" fontId="71" fillId="7" borderId="1" xfId="0" applyNumberFormat="1" applyFont="1" applyFill="1" applyBorder="1" applyAlignment="1">
      <alignment horizontal="center" vertical="center"/>
    </xf>
    <xf numFmtId="14" fontId="72" fillId="7" borderId="1" xfId="0" applyNumberFormat="1" applyFont="1" applyFill="1" applyBorder="1" applyAlignment="1">
      <alignment horizontal="center" vertical="center"/>
    </xf>
    <xf numFmtId="165" fontId="72" fillId="5" borderId="1" xfId="4" applyFont="1" applyFill="1" applyBorder="1" applyAlignment="1">
      <alignment horizontal="center"/>
    </xf>
    <xf numFmtId="165" fontId="72" fillId="0" borderId="1" xfId="4" applyFont="1" applyBorder="1" applyAlignment="1">
      <alignment horizontal="center"/>
    </xf>
    <xf numFmtId="171" fontId="72" fillId="4" borderId="0" xfId="0" applyNumberFormat="1" applyFont="1" applyFill="1" applyAlignment="1">
      <alignment horizontal="center" vertical="center"/>
    </xf>
    <xf numFmtId="14" fontId="71" fillId="4" borderId="0" xfId="0" applyNumberFormat="1" applyFont="1" applyFill="1" applyAlignment="1">
      <alignment horizontal="center" vertical="center"/>
    </xf>
    <xf numFmtId="166" fontId="72" fillId="4" borderId="1" xfId="0" applyNumberFormat="1" applyFont="1" applyFill="1" applyBorder="1" applyAlignment="1">
      <alignment vertical="center"/>
    </xf>
    <xf numFmtId="171" fontId="72" fillId="7" borderId="1" xfId="0" applyNumberFormat="1" applyFont="1" applyFill="1" applyBorder="1" applyAlignment="1">
      <alignment horizontal="center" vertical="center"/>
    </xf>
    <xf numFmtId="1" fontId="72" fillId="0" borderId="1" xfId="0" applyNumberFormat="1" applyFont="1" applyBorder="1" applyAlignment="1">
      <alignment horizontal="center" vertical="center"/>
    </xf>
    <xf numFmtId="1" fontId="76" fillId="7" borderId="1" xfId="0" applyNumberFormat="1" applyFont="1" applyFill="1" applyBorder="1" applyAlignment="1">
      <alignment horizontal="center" vertical="center"/>
    </xf>
    <xf numFmtId="1" fontId="72" fillId="5" borderId="1" xfId="0" applyNumberFormat="1" applyFont="1" applyFill="1" applyBorder="1" applyAlignment="1">
      <alignment horizontal="center" vertical="center"/>
    </xf>
    <xf numFmtId="1" fontId="72" fillId="4" borderId="1" xfId="0" applyNumberFormat="1" applyFont="1" applyFill="1" applyBorder="1" applyAlignment="1">
      <alignment horizontal="center" vertical="center"/>
    </xf>
    <xf numFmtId="1" fontId="72" fillId="0" borderId="1" xfId="0" applyNumberFormat="1" applyFont="1" applyBorder="1" applyAlignment="1">
      <alignment horizontal="center"/>
    </xf>
    <xf numFmtId="1" fontId="72" fillId="7" borderId="1" xfId="0" applyNumberFormat="1" applyFont="1" applyFill="1" applyBorder="1" applyAlignment="1">
      <alignment horizontal="center" vertical="center"/>
    </xf>
    <xf numFmtId="1" fontId="72" fillId="4" borderId="0" xfId="0" applyNumberFormat="1" applyFont="1" applyFill="1" applyAlignment="1">
      <alignment horizontal="center" vertical="center"/>
    </xf>
    <xf numFmtId="166" fontId="72" fillId="0" borderId="0" xfId="0" applyNumberFormat="1" applyFont="1" applyAlignment="1">
      <alignment horizontal="center" vertical="center"/>
    </xf>
    <xf numFmtId="167" fontId="71" fillId="0" borderId="0" xfId="0" applyNumberFormat="1" applyFont="1" applyAlignment="1">
      <alignment horizontal="center" vertical="center"/>
    </xf>
    <xf numFmtId="0" fontId="74" fillId="4" borderId="1" xfId="0" applyFont="1" applyFill="1" applyBorder="1" applyAlignment="1">
      <alignment vertical="center"/>
    </xf>
    <xf numFmtId="0" fontId="61" fillId="4" borderId="3" xfId="0" applyFont="1" applyFill="1" applyBorder="1"/>
    <xf numFmtId="0" fontId="61" fillId="5" borderId="3" xfId="0" applyFont="1" applyFill="1" applyBorder="1"/>
    <xf numFmtId="171" fontId="72" fillId="0" borderId="1" xfId="0" applyNumberFormat="1" applyFont="1" applyBorder="1" applyAlignment="1">
      <alignment horizontal="center" vertical="center"/>
    </xf>
    <xf numFmtId="0" fontId="61" fillId="4" borderId="1" xfId="0" applyFont="1" applyFill="1" applyBorder="1" applyAlignment="1">
      <alignment horizontal="center"/>
    </xf>
    <xf numFmtId="0" fontId="61" fillId="4" borderId="36" xfId="0" applyFont="1" applyFill="1" applyBorder="1"/>
    <xf numFmtId="0" fontId="61" fillId="0" borderId="36" xfId="0" applyFont="1" applyBorder="1"/>
    <xf numFmtId="171" fontId="73" fillId="4" borderId="0" xfId="0" applyNumberFormat="1" applyFont="1" applyFill="1" applyAlignment="1">
      <alignment horizontal="center" vertical="center"/>
    </xf>
    <xf numFmtId="0" fontId="67" fillId="0" borderId="0" xfId="0" applyFont="1" applyAlignment="1">
      <alignment horizontal="center"/>
    </xf>
    <xf numFmtId="172" fontId="79" fillId="4" borderId="1" xfId="25" applyNumberFormat="1" applyFont="1" applyFill="1" applyBorder="1" applyAlignment="1">
      <alignment horizontal="center" vertical="center"/>
    </xf>
    <xf numFmtId="172" fontId="79" fillId="4" borderId="1" xfId="4" applyNumberFormat="1" applyFont="1" applyFill="1" applyBorder="1" applyAlignment="1">
      <alignment horizontal="center" vertical="center"/>
    </xf>
    <xf numFmtId="0" fontId="60" fillId="4" borderId="1" xfId="0" applyFont="1" applyFill="1" applyBorder="1" applyAlignment="1">
      <alignment horizontal="left" vertical="center"/>
    </xf>
    <xf numFmtId="0" fontId="72" fillId="4" borderId="1" xfId="0" applyFont="1" applyFill="1" applyBorder="1" applyAlignment="1">
      <alignment horizontal="left" vertical="center"/>
    </xf>
    <xf numFmtId="0" fontId="74" fillId="4" borderId="1" xfId="0" applyFont="1" applyFill="1" applyBorder="1" applyAlignment="1">
      <alignment horizontal="center" vertical="center"/>
    </xf>
    <xf numFmtId="172" fontId="71" fillId="4" borderId="0" xfId="4" applyNumberFormat="1" applyFont="1" applyFill="1" applyBorder="1" applyAlignment="1">
      <alignment horizontal="center" vertical="center"/>
    </xf>
    <xf numFmtId="0" fontId="74" fillId="4" borderId="0" xfId="0" applyFont="1" applyFill="1" applyAlignment="1">
      <alignment vertical="center"/>
    </xf>
    <xf numFmtId="0" fontId="74" fillId="39" borderId="4" xfId="0" applyFont="1" applyFill="1" applyBorder="1" applyAlignment="1">
      <alignment vertical="center" wrapText="1"/>
    </xf>
    <xf numFmtId="0" fontId="74" fillId="39" borderId="4" xfId="0" applyFont="1" applyFill="1" applyBorder="1" applyAlignment="1">
      <alignment horizontal="center" vertical="center" wrapText="1"/>
    </xf>
    <xf numFmtId="166" fontId="74" fillId="39" borderId="4" xfId="0" applyNumberFormat="1" applyFont="1" applyFill="1" applyBorder="1" applyAlignment="1">
      <alignment horizontal="center" vertical="center" wrapText="1"/>
    </xf>
    <xf numFmtId="171" fontId="74" fillId="39" borderId="4" xfId="0" applyNumberFormat="1" applyFont="1" applyFill="1" applyBorder="1" applyAlignment="1">
      <alignment horizontal="center" vertical="center" wrapText="1"/>
    </xf>
    <xf numFmtId="165" fontId="74" fillId="39" borderId="4" xfId="4" applyFont="1" applyFill="1" applyBorder="1" applyAlignment="1">
      <alignment horizontal="center" vertical="center" wrapText="1"/>
    </xf>
    <xf numFmtId="0" fontId="71" fillId="2" borderId="4" xfId="0" applyFont="1" applyFill="1" applyBorder="1" applyAlignment="1">
      <alignment horizontal="center" vertical="center" wrapText="1"/>
    </xf>
    <xf numFmtId="167" fontId="74" fillId="39" borderId="4" xfId="0" applyNumberFormat="1" applyFont="1" applyFill="1" applyBorder="1" applyAlignment="1">
      <alignment horizontal="center" vertical="center" wrapText="1"/>
    </xf>
    <xf numFmtId="171" fontId="71" fillId="39" borderId="4" xfId="0" applyNumberFormat="1" applyFont="1" applyFill="1" applyBorder="1" applyAlignment="1">
      <alignment horizontal="center" vertical="center" wrapText="1"/>
    </xf>
    <xf numFmtId="171" fontId="73" fillId="39" borderId="4" xfId="0" applyNumberFormat="1" applyFont="1" applyFill="1" applyBorder="1" applyAlignment="1">
      <alignment horizontal="center" vertical="center" wrapText="1"/>
    </xf>
    <xf numFmtId="14" fontId="71" fillId="39" borderId="4" xfId="0" applyNumberFormat="1" applyFont="1" applyFill="1" applyBorder="1" applyAlignment="1">
      <alignment horizontal="center" vertical="center" wrapText="1"/>
    </xf>
    <xf numFmtId="172" fontId="71" fillId="39" borderId="4" xfId="4" applyNumberFormat="1" applyFont="1" applyFill="1" applyBorder="1" applyAlignment="1">
      <alignment horizontal="center" vertical="center" wrapText="1"/>
    </xf>
    <xf numFmtId="0" fontId="61" fillId="5" borderId="1" xfId="0" applyFont="1" applyFill="1" applyBorder="1"/>
    <xf numFmtId="14" fontId="71" fillId="5" borderId="1" xfId="0" applyNumberFormat="1" applyFont="1" applyFill="1" applyBorder="1" applyAlignment="1">
      <alignment horizontal="center" vertical="center"/>
    </xf>
    <xf numFmtId="0" fontId="74" fillId="6" borderId="1" xfId="0" applyFont="1" applyFill="1" applyBorder="1" applyAlignment="1">
      <alignment vertical="center"/>
    </xf>
    <xf numFmtId="0" fontId="59" fillId="39" borderId="4" xfId="0" applyFont="1" applyFill="1" applyBorder="1" applyAlignment="1">
      <alignment horizontal="center" vertical="center" wrapText="1"/>
    </xf>
    <xf numFmtId="171" fontId="71" fillId="5" borderId="4" xfId="0" applyNumberFormat="1" applyFont="1" applyFill="1" applyBorder="1" applyAlignment="1">
      <alignment horizontal="center" vertical="center"/>
    </xf>
    <xf numFmtId="172" fontId="73" fillId="5" borderId="1" xfId="4" applyNumberFormat="1" applyFont="1" applyFill="1" applyBorder="1" applyAlignment="1">
      <alignment horizontal="center" vertical="center"/>
    </xf>
    <xf numFmtId="0" fontId="74" fillId="4" borderId="4" xfId="0" applyFont="1" applyFill="1" applyBorder="1" applyAlignment="1">
      <alignment vertical="center"/>
    </xf>
    <xf numFmtId="0" fontId="76" fillId="45" borderId="5" xfId="0" applyFont="1" applyFill="1" applyBorder="1" applyAlignment="1">
      <alignment horizontal="center" vertical="center"/>
    </xf>
    <xf numFmtId="171" fontId="71" fillId="5" borderId="22" xfId="0" applyNumberFormat="1" applyFont="1" applyFill="1" applyBorder="1" applyAlignment="1">
      <alignment horizontal="center" vertical="center"/>
    </xf>
    <xf numFmtId="0" fontId="76" fillId="5" borderId="1" xfId="0" applyFont="1" applyFill="1" applyBorder="1" applyAlignment="1">
      <alignment horizontal="center" vertical="center"/>
    </xf>
    <xf numFmtId="172" fontId="73" fillId="5" borderId="22" xfId="4" applyNumberFormat="1" applyFont="1" applyFill="1" applyBorder="1" applyAlignment="1">
      <alignment horizontal="center" vertical="center"/>
    </xf>
    <xf numFmtId="0" fontId="72" fillId="5" borderId="1" xfId="0" applyFont="1" applyFill="1" applyBorder="1" applyAlignment="1">
      <alignment horizontal="left"/>
    </xf>
    <xf numFmtId="0" fontId="71" fillId="46" borderId="1" xfId="0" applyFont="1" applyFill="1" applyBorder="1" applyAlignment="1">
      <alignment horizontal="left" vertical="center"/>
    </xf>
    <xf numFmtId="0" fontId="72" fillId="46" borderId="1" xfId="0" applyFont="1" applyFill="1" applyBorder="1" applyAlignment="1">
      <alignment horizontal="center" vertical="center"/>
    </xf>
    <xf numFmtId="166" fontId="72" fillId="46" borderId="1" xfId="0" applyNumberFormat="1" applyFont="1" applyFill="1" applyBorder="1" applyAlignment="1">
      <alignment horizontal="center" vertical="center"/>
    </xf>
    <xf numFmtId="171" fontId="71" fillId="46" borderId="1" xfId="0" applyNumberFormat="1" applyFont="1" applyFill="1" applyBorder="1" applyAlignment="1">
      <alignment horizontal="center" vertical="center"/>
    </xf>
    <xf numFmtId="165" fontId="72" fillId="46" borderId="1" xfId="4" applyFont="1" applyFill="1" applyBorder="1" applyAlignment="1">
      <alignment horizontal="center" vertical="center"/>
    </xf>
    <xf numFmtId="167" fontId="71" fillId="46" borderId="1" xfId="0" applyNumberFormat="1" applyFont="1" applyFill="1" applyBorder="1" applyAlignment="1">
      <alignment horizontal="center" vertical="center"/>
    </xf>
    <xf numFmtId="173" fontId="71" fillId="46" borderId="1" xfId="0" applyNumberFormat="1" applyFont="1" applyFill="1" applyBorder="1" applyAlignment="1">
      <alignment horizontal="center" vertical="center"/>
    </xf>
    <xf numFmtId="171" fontId="72" fillId="46" borderId="1" xfId="0" applyNumberFormat="1" applyFont="1" applyFill="1" applyBorder="1" applyAlignment="1">
      <alignment horizontal="center" vertical="center"/>
    </xf>
    <xf numFmtId="0" fontId="71" fillId="46" borderId="1" xfId="0" applyFont="1" applyFill="1" applyBorder="1" applyAlignment="1">
      <alignment horizontal="center" vertical="center"/>
    </xf>
    <xf numFmtId="172" fontId="73" fillId="46" borderId="1" xfId="4" applyNumberFormat="1" applyFont="1" applyFill="1" applyBorder="1" applyAlignment="1">
      <alignment horizontal="center" vertical="center"/>
    </xf>
    <xf numFmtId="0" fontId="74" fillId="46" borderId="1" xfId="0" applyFont="1" applyFill="1" applyBorder="1" applyAlignment="1">
      <alignment vertical="center"/>
    </xf>
    <xf numFmtId="0" fontId="61" fillId="46" borderId="0" xfId="0" applyFont="1" applyFill="1"/>
    <xf numFmtId="0" fontId="61" fillId="5" borderId="1" xfId="0" applyFont="1" applyFill="1" applyBorder="1" applyAlignment="1">
      <alignment horizontal="center"/>
    </xf>
    <xf numFmtId="0" fontId="76" fillId="45" borderId="1" xfId="0" applyFont="1" applyFill="1" applyBorder="1" applyAlignment="1">
      <alignment horizontal="center" vertical="center"/>
    </xf>
    <xf numFmtId="167" fontId="72" fillId="5" borderId="4" xfId="0" applyNumberFormat="1" applyFont="1" applyFill="1" applyBorder="1" applyAlignment="1">
      <alignment horizontal="center" vertical="center"/>
    </xf>
    <xf numFmtId="0" fontId="76" fillId="5" borderId="4" xfId="0" applyFont="1" applyFill="1" applyBorder="1" applyAlignment="1">
      <alignment horizontal="center" vertical="center"/>
    </xf>
    <xf numFmtId="14" fontId="71" fillId="5" borderId="4" xfId="0" applyNumberFormat="1" applyFont="1" applyFill="1" applyBorder="1" applyAlignment="1">
      <alignment horizontal="center" vertical="center"/>
    </xf>
    <xf numFmtId="167" fontId="71" fillId="4" borderId="4" xfId="0" applyNumberFormat="1" applyFont="1" applyFill="1" applyBorder="1" applyAlignment="1">
      <alignment horizontal="center" vertical="center"/>
    </xf>
    <xf numFmtId="172" fontId="73" fillId="5" borderId="5" xfId="4" applyNumberFormat="1" applyFont="1" applyFill="1" applyBorder="1" applyAlignment="1">
      <alignment horizontal="center" vertical="center"/>
    </xf>
    <xf numFmtId="176" fontId="73" fillId="5" borderId="1" xfId="4" applyNumberFormat="1" applyFont="1" applyFill="1" applyBorder="1" applyAlignment="1">
      <alignment horizontal="center" vertical="center"/>
    </xf>
    <xf numFmtId="0" fontId="72" fillId="4" borderId="1" xfId="0" applyFont="1" applyFill="1" applyBorder="1"/>
    <xf numFmtId="171" fontId="71" fillId="0" borderId="5" xfId="0" applyNumberFormat="1" applyFont="1" applyBorder="1" applyAlignment="1">
      <alignment horizontal="center" vertical="center"/>
    </xf>
    <xf numFmtId="172" fontId="73" fillId="0" borderId="5" xfId="4" applyNumberFormat="1" applyFont="1" applyFill="1" applyBorder="1" applyAlignment="1">
      <alignment horizontal="center" vertical="center"/>
    </xf>
    <xf numFmtId="0" fontId="53" fillId="4" borderId="22" xfId="0" applyFont="1" applyFill="1" applyBorder="1" applyAlignment="1">
      <alignment horizontal="center" vertical="center"/>
    </xf>
    <xf numFmtId="0" fontId="53" fillId="4" borderId="20" xfId="0" applyFont="1" applyFill="1" applyBorder="1" applyAlignment="1">
      <alignment horizontal="center" vertical="center"/>
    </xf>
    <xf numFmtId="0" fontId="53" fillId="4" borderId="3" xfId="0" applyFont="1" applyFill="1" applyBorder="1" applyAlignment="1">
      <alignment horizontal="center" vertical="center"/>
    </xf>
    <xf numFmtId="0" fontId="25" fillId="4" borderId="3" xfId="0" applyFont="1" applyFill="1" applyBorder="1" applyAlignment="1">
      <alignment horizontal="center" vertical="center"/>
    </xf>
    <xf numFmtId="0" fontId="25" fillId="7" borderId="5" xfId="0" applyFont="1" applyFill="1" applyBorder="1" applyAlignment="1">
      <alignment horizontal="center" vertical="center"/>
    </xf>
    <xf numFmtId="0" fontId="25" fillId="4" borderId="0" xfId="0" applyFont="1" applyFill="1" applyAlignment="1">
      <alignment horizontal="center" vertical="center"/>
    </xf>
    <xf numFmtId="0" fontId="25" fillId="7" borderId="3" xfId="0" applyFont="1" applyFill="1" applyBorder="1" applyAlignment="1">
      <alignment horizontal="center" vertical="center"/>
    </xf>
    <xf numFmtId="0" fontId="71" fillId="0" borderId="5" xfId="0" applyFont="1" applyBorder="1" applyAlignment="1">
      <alignment horizontal="left" vertical="center"/>
    </xf>
    <xf numFmtId="166" fontId="72" fillId="0" borderId="5" xfId="0" applyNumberFormat="1" applyFont="1" applyBorder="1" applyAlignment="1">
      <alignment horizontal="center" vertical="center"/>
    </xf>
    <xf numFmtId="0" fontId="73" fillId="0" borderId="5" xfId="0" applyFont="1" applyBorder="1" applyAlignment="1">
      <alignment horizontal="center" vertical="center"/>
    </xf>
    <xf numFmtId="0" fontId="76" fillId="0" borderId="22" xfId="0" applyFont="1" applyBorder="1" applyAlignment="1">
      <alignment horizontal="center" vertical="center"/>
    </xf>
    <xf numFmtId="0" fontId="72" fillId="4" borderId="5" xfId="0" applyFont="1" applyFill="1" applyBorder="1" applyAlignment="1">
      <alignment horizontal="left"/>
    </xf>
    <xf numFmtId="171" fontId="59" fillId="4" borderId="5" xfId="0" applyNumberFormat="1" applyFont="1" applyFill="1" applyBorder="1" applyAlignment="1">
      <alignment horizontal="center" vertical="center"/>
    </xf>
    <xf numFmtId="0" fontId="71" fillId="0" borderId="4" xfId="0" applyFont="1" applyBorder="1" applyAlignment="1">
      <alignment horizontal="left" vertical="center"/>
    </xf>
    <xf numFmtId="0" fontId="72" fillId="0" borderId="4" xfId="0" applyFont="1" applyBorder="1" applyAlignment="1">
      <alignment horizontal="center" vertical="center"/>
    </xf>
    <xf numFmtId="166" fontId="72" fillId="0" borderId="4" xfId="0" applyNumberFormat="1" applyFont="1" applyBorder="1" applyAlignment="1">
      <alignment horizontal="center" vertical="center"/>
    </xf>
    <xf numFmtId="0" fontId="72" fillId="0" borderId="22" xfId="0" applyFont="1" applyBorder="1" applyAlignment="1">
      <alignment horizontal="center" vertical="center"/>
    </xf>
    <xf numFmtId="0" fontId="73" fillId="0" borderId="4" xfId="0" applyFont="1" applyBorder="1" applyAlignment="1">
      <alignment horizontal="center" vertical="center"/>
    </xf>
    <xf numFmtId="165" fontId="72" fillId="4" borderId="4" xfId="4" applyFont="1" applyFill="1" applyBorder="1" applyAlignment="1">
      <alignment horizontal="center" vertical="center"/>
    </xf>
    <xf numFmtId="167" fontId="72" fillId="0" borderId="4" xfId="0" applyNumberFormat="1" applyFont="1" applyBorder="1" applyAlignment="1">
      <alignment horizontal="center" vertical="center"/>
    </xf>
    <xf numFmtId="173" fontId="72" fillId="0" borderId="4" xfId="0" applyNumberFormat="1" applyFont="1" applyBorder="1" applyAlignment="1">
      <alignment horizontal="center" vertical="center"/>
    </xf>
    <xf numFmtId="0" fontId="71" fillId="0" borderId="4" xfId="0" applyFont="1" applyBorder="1" applyAlignment="1">
      <alignment horizontal="center" vertical="center"/>
    </xf>
    <xf numFmtId="172" fontId="73" fillId="0" borderId="4" xfId="4" applyNumberFormat="1" applyFont="1" applyFill="1" applyBorder="1" applyAlignment="1">
      <alignment horizontal="center" vertical="center"/>
    </xf>
    <xf numFmtId="171" fontId="59" fillId="4" borderId="4" xfId="0" applyNumberFormat="1" applyFont="1" applyFill="1" applyBorder="1" applyAlignment="1">
      <alignment horizontal="center" vertical="center"/>
    </xf>
    <xf numFmtId="0" fontId="74" fillId="4" borderId="22" xfId="0" applyFont="1" applyFill="1" applyBorder="1" applyAlignment="1">
      <alignment horizontal="center" vertical="center"/>
    </xf>
    <xf numFmtId="0" fontId="74" fillId="4" borderId="5" xfId="0" applyFont="1" applyFill="1" applyBorder="1" applyAlignment="1">
      <alignment horizontal="center" vertical="center"/>
    </xf>
    <xf numFmtId="49" fontId="72" fillId="4" borderId="1" xfId="0" applyNumberFormat="1" applyFont="1" applyFill="1" applyBorder="1" applyAlignment="1">
      <alignment horizontal="left" vertical="center"/>
    </xf>
    <xf numFmtId="0" fontId="72" fillId="4" borderId="1" xfId="0" applyFont="1" applyFill="1" applyBorder="1" applyAlignment="1">
      <alignment horizontal="center" vertical="center" wrapText="1"/>
    </xf>
    <xf numFmtId="0" fontId="71" fillId="5" borderId="2" xfId="0" applyFont="1" applyFill="1" applyBorder="1" applyAlignment="1">
      <alignment horizontal="left" vertical="center"/>
    </xf>
    <xf numFmtId="3" fontId="1" fillId="43" borderId="9" xfId="576" applyNumberFormat="1" applyFont="1" applyFill="1" applyBorder="1" applyAlignment="1">
      <alignment horizontal="center" vertical="center" wrapText="1"/>
    </xf>
    <xf numFmtId="3" fontId="1" fillId="43" borderId="38" xfId="576" applyNumberFormat="1" applyFont="1" applyFill="1" applyBorder="1" applyAlignment="1">
      <alignment horizontal="center" vertical="center" wrapText="1"/>
    </xf>
    <xf numFmtId="0" fontId="1" fillId="43" borderId="22" xfId="576" applyFont="1" applyFill="1" applyBorder="1" applyAlignment="1">
      <alignment horizontal="center" vertical="center" wrapText="1"/>
    </xf>
    <xf numFmtId="3" fontId="1" fillId="0" borderId="1" xfId="577" applyNumberFormat="1" applyFont="1" applyFill="1" applyBorder="1" applyAlignment="1">
      <alignment horizontal="center" vertical="center" wrapText="1"/>
    </xf>
    <xf numFmtId="3" fontId="1" fillId="43" borderId="1" xfId="577" applyNumberFormat="1" applyFont="1" applyFill="1" applyBorder="1" applyAlignment="1">
      <alignment horizontal="center" vertical="center" wrapText="1"/>
    </xf>
    <xf numFmtId="0" fontId="74" fillId="0" borderId="1" xfId="0" applyFont="1" applyBorder="1" applyAlignment="1">
      <alignment horizontal="center" vertical="center"/>
    </xf>
    <xf numFmtId="0" fontId="71" fillId="4" borderId="5" xfId="0" applyFont="1" applyFill="1" applyBorder="1" applyAlignment="1">
      <alignment horizontal="left" vertical="center"/>
    </xf>
    <xf numFmtId="0" fontId="72" fillId="4" borderId="5" xfId="0" applyFont="1" applyFill="1" applyBorder="1" applyAlignment="1">
      <alignment horizontal="center" vertical="center" wrapText="1"/>
    </xf>
    <xf numFmtId="0" fontId="61" fillId="4" borderId="5" xfId="0" applyFont="1" applyFill="1" applyBorder="1" applyAlignment="1">
      <alignment horizontal="center"/>
    </xf>
    <xf numFmtId="171" fontId="73" fillId="4" borderId="5" xfId="0" applyNumberFormat="1" applyFont="1" applyFill="1" applyBorder="1" applyAlignment="1">
      <alignment horizontal="center" vertical="center"/>
    </xf>
    <xf numFmtId="173" fontId="72" fillId="0" borderId="22" xfId="0" applyNumberFormat="1" applyFont="1" applyBorder="1" applyAlignment="1">
      <alignment horizontal="center" vertical="center"/>
    </xf>
    <xf numFmtId="167" fontId="72" fillId="0" borderId="22" xfId="0" applyNumberFormat="1" applyFont="1" applyBorder="1" applyAlignment="1">
      <alignment horizontal="center" vertical="center"/>
    </xf>
    <xf numFmtId="0" fontId="71" fillId="0" borderId="22" xfId="0" applyFont="1" applyBorder="1" applyAlignment="1">
      <alignment horizontal="center" vertical="center"/>
    </xf>
    <xf numFmtId="171" fontId="71" fillId="0" borderId="22" xfId="0" applyNumberFormat="1" applyFont="1" applyBorder="1" applyAlignment="1">
      <alignment horizontal="center" vertical="center"/>
    </xf>
    <xf numFmtId="0" fontId="71" fillId="4" borderId="1" xfId="0" quotePrefix="1" applyFont="1" applyFill="1" applyBorder="1" applyAlignment="1">
      <alignment horizontal="center" vertical="center"/>
    </xf>
    <xf numFmtId="172" fontId="77" fillId="4" borderId="5" xfId="4" applyNumberFormat="1" applyFont="1" applyFill="1" applyBorder="1" applyAlignment="1">
      <alignment horizontal="center" vertical="center"/>
    </xf>
    <xf numFmtId="0" fontId="72" fillId="44" borderId="1" xfId="0" applyFont="1" applyFill="1" applyBorder="1" applyAlignment="1">
      <alignment horizontal="center" vertical="center"/>
    </xf>
    <xf numFmtId="1" fontId="72" fillId="44" borderId="1" xfId="0" applyNumberFormat="1" applyFont="1" applyFill="1" applyBorder="1" applyAlignment="1">
      <alignment horizontal="center" vertical="center"/>
    </xf>
    <xf numFmtId="0" fontId="60" fillId="44" borderId="1" xfId="0" applyFont="1" applyFill="1" applyBorder="1" applyAlignment="1">
      <alignment horizontal="left" vertical="center"/>
    </xf>
    <xf numFmtId="0" fontId="73" fillId="5" borderId="2" xfId="0" applyFont="1" applyFill="1" applyBorder="1" applyAlignment="1">
      <alignment horizontal="left" vertical="center"/>
    </xf>
    <xf numFmtId="0" fontId="73" fillId="0" borderId="2" xfId="0" applyFont="1" applyBorder="1" applyAlignment="1">
      <alignment horizontal="left" vertical="center"/>
    </xf>
    <xf numFmtId="171" fontId="71" fillId="4" borderId="2" xfId="0" applyNumberFormat="1" applyFont="1" applyFill="1" applyBorder="1" applyAlignment="1">
      <alignment horizontal="center" vertical="center"/>
    </xf>
    <xf numFmtId="0" fontId="72" fillId="0" borderId="2" xfId="0" applyFont="1" applyBorder="1"/>
    <xf numFmtId="0" fontId="74" fillId="4" borderId="3" xfId="0" applyFont="1" applyFill="1" applyBorder="1" applyAlignment="1">
      <alignment vertical="center"/>
    </xf>
    <xf numFmtId="165" fontId="72" fillId="0" borderId="5" xfId="4" applyFont="1" applyFill="1" applyBorder="1" applyAlignment="1">
      <alignment horizontal="center" vertical="center"/>
    </xf>
    <xf numFmtId="173" fontId="71" fillId="4" borderId="4" xfId="0" applyNumberFormat="1" applyFont="1" applyFill="1" applyBorder="1" applyAlignment="1">
      <alignment horizontal="center" vertical="center"/>
    </xf>
    <xf numFmtId="0" fontId="73" fillId="4" borderId="2" xfId="0" applyFont="1" applyFill="1" applyBorder="1" applyAlignment="1">
      <alignment horizontal="left" vertical="center"/>
    </xf>
    <xf numFmtId="0" fontId="74" fillId="4" borderId="5" xfId="0" applyFont="1" applyFill="1" applyBorder="1" applyAlignment="1">
      <alignment vertical="center"/>
    </xf>
    <xf numFmtId="49" fontId="72" fillId="0" borderId="1" xfId="0" applyNumberFormat="1" applyFont="1" applyBorder="1" applyAlignment="1">
      <alignment horizontal="left" vertical="center"/>
    </xf>
    <xf numFmtId="0" fontId="72" fillId="4" borderId="2" xfId="0" applyFont="1" applyFill="1" applyBorder="1" applyAlignment="1">
      <alignment horizontal="left"/>
    </xf>
    <xf numFmtId="0" fontId="72" fillId="44" borderId="5" xfId="0" applyFont="1" applyFill="1" applyBorder="1" applyAlignment="1">
      <alignment horizontal="center" vertical="center"/>
    </xf>
    <xf numFmtId="0" fontId="71" fillId="5" borderId="5" xfId="0" applyFont="1" applyFill="1" applyBorder="1" applyAlignment="1">
      <alignment horizontal="left" vertical="center"/>
    </xf>
    <xf numFmtId="0" fontId="60" fillId="5" borderId="1" xfId="0" applyFont="1" applyFill="1" applyBorder="1" applyAlignment="1">
      <alignment horizontal="center"/>
    </xf>
    <xf numFmtId="14" fontId="71" fillId="4" borderId="22" xfId="0" applyNumberFormat="1" applyFont="1" applyFill="1" applyBorder="1" applyAlignment="1">
      <alignment horizontal="center" vertical="center"/>
    </xf>
    <xf numFmtId="0" fontId="61" fillId="4" borderId="22" xfId="0" applyFont="1" applyFill="1" applyBorder="1"/>
    <xf numFmtId="0" fontId="71" fillId="47" borderId="50" xfId="0" applyFont="1" applyFill="1" applyBorder="1" applyAlignment="1">
      <alignment vertical="center"/>
    </xf>
    <xf numFmtId="0" fontId="76" fillId="0" borderId="1" xfId="0" applyFont="1" applyBorder="1" applyAlignment="1">
      <alignment horizontal="center" vertical="center"/>
    </xf>
    <xf numFmtId="171" fontId="71" fillId="4" borderId="22" xfId="0" applyNumberFormat="1" applyFont="1" applyFill="1" applyBorder="1" applyAlignment="1">
      <alignment horizontal="center" vertical="center"/>
    </xf>
    <xf numFmtId="165" fontId="72" fillId="4" borderId="1" xfId="4" applyFont="1" applyFill="1" applyBorder="1" applyAlignment="1">
      <alignment horizontal="center" vertical="center" wrapText="1"/>
    </xf>
    <xf numFmtId="165" fontId="72" fillId="4" borderId="5" xfId="4" applyFont="1" applyFill="1" applyBorder="1" applyAlignment="1">
      <alignment horizontal="center" vertical="center" wrapText="1"/>
    </xf>
    <xf numFmtId="171" fontId="71" fillId="4" borderId="1" xfId="0" applyNumberFormat="1" applyFont="1" applyFill="1" applyBorder="1" applyAlignment="1">
      <alignment horizontal="center" vertical="center" wrapText="1"/>
    </xf>
    <xf numFmtId="171" fontId="71" fillId="5" borderId="1" xfId="0" applyNumberFormat="1" applyFont="1" applyFill="1" applyBorder="1" applyAlignment="1">
      <alignment horizontal="center" vertical="center" wrapText="1"/>
    </xf>
    <xf numFmtId="0" fontId="71" fillId="0" borderId="1" xfId="0" applyFont="1" applyBorder="1" applyAlignment="1">
      <alignment horizontal="center" wrapText="1"/>
    </xf>
    <xf numFmtId="0" fontId="61" fillId="4" borderId="5" xfId="0" applyFont="1" applyFill="1" applyBorder="1"/>
    <xf numFmtId="0" fontId="72" fillId="44" borderId="1" xfId="0" applyFont="1" applyFill="1" applyBorder="1" applyAlignment="1">
      <alignment horizontal="center"/>
    </xf>
    <xf numFmtId="175" fontId="79" fillId="4" borderId="1" xfId="4" applyNumberFormat="1" applyFont="1" applyFill="1" applyBorder="1" applyAlignment="1">
      <alignment horizontal="center" vertical="center"/>
    </xf>
    <xf numFmtId="167" fontId="71" fillId="8" borderId="4" xfId="0" applyNumberFormat="1" applyFont="1" applyFill="1" applyBorder="1" applyAlignment="1">
      <alignment horizontal="center" vertical="center"/>
    </xf>
    <xf numFmtId="0" fontId="60" fillId="5" borderId="5" xfId="0" applyFont="1" applyFill="1" applyBorder="1" applyAlignment="1">
      <alignment horizontal="center"/>
    </xf>
    <xf numFmtId="0" fontId="76" fillId="38" borderId="5" xfId="0" applyFont="1" applyFill="1" applyBorder="1" applyAlignment="1">
      <alignment horizontal="center" vertical="center"/>
    </xf>
    <xf numFmtId="171" fontId="74" fillId="4" borderId="5" xfId="0" applyNumberFormat="1" applyFont="1" applyFill="1" applyBorder="1" applyAlignment="1">
      <alignment horizontal="center" vertical="center"/>
    </xf>
    <xf numFmtId="167" fontId="71" fillId="0" borderId="5" xfId="0" applyNumberFormat="1" applyFont="1" applyBorder="1" applyAlignment="1">
      <alignment horizontal="center" vertical="center"/>
    </xf>
    <xf numFmtId="171" fontId="71" fillId="8" borderId="1" xfId="0" applyNumberFormat="1" applyFont="1" applyFill="1" applyBorder="1" applyAlignment="1">
      <alignment horizontal="center" vertical="center" wrapText="1"/>
    </xf>
    <xf numFmtId="165" fontId="72" fillId="5" borderId="0" xfId="4" applyFont="1" applyFill="1" applyBorder="1" applyAlignment="1">
      <alignment horizontal="center" vertical="center"/>
    </xf>
    <xf numFmtId="0" fontId="61" fillId="0" borderId="3" xfId="0" applyFont="1" applyBorder="1"/>
    <xf numFmtId="14" fontId="71" fillId="4" borderId="5" xfId="0" applyNumberFormat="1" applyFont="1" applyFill="1" applyBorder="1" applyAlignment="1">
      <alignment horizontal="center" vertical="center"/>
    </xf>
    <xf numFmtId="171" fontId="59" fillId="4" borderId="6" xfId="0" applyNumberFormat="1" applyFont="1" applyFill="1" applyBorder="1" applyAlignment="1">
      <alignment horizontal="center" vertical="center"/>
    </xf>
    <xf numFmtId="171" fontId="71" fillId="4" borderId="7" xfId="0" applyNumberFormat="1" applyFont="1" applyFill="1" applyBorder="1" applyAlignment="1">
      <alignment horizontal="center" vertical="center"/>
    </xf>
    <xf numFmtId="171" fontId="71" fillId="4" borderId="19" xfId="0" applyNumberFormat="1" applyFont="1" applyFill="1" applyBorder="1" applyAlignment="1">
      <alignment horizontal="center" vertical="center"/>
    </xf>
    <xf numFmtId="0" fontId="74" fillId="4" borderId="19" xfId="0" applyFont="1" applyFill="1" applyBorder="1" applyAlignment="1">
      <alignment horizontal="center" vertical="center"/>
    </xf>
    <xf numFmtId="0" fontId="61" fillId="4" borderId="2" xfId="0" applyFont="1" applyFill="1" applyBorder="1"/>
    <xf numFmtId="0" fontId="71" fillId="47" borderId="53" xfId="0" applyFont="1" applyFill="1" applyBorder="1" applyAlignment="1">
      <alignment vertical="center"/>
    </xf>
    <xf numFmtId="0" fontId="71" fillId="47" borderId="0" xfId="0" applyFont="1" applyFill="1" applyAlignment="1">
      <alignment vertical="center"/>
    </xf>
    <xf numFmtId="167" fontId="71" fillId="5" borderId="0" xfId="0" applyNumberFormat="1" applyFont="1" applyFill="1" applyAlignment="1">
      <alignment horizontal="center" vertical="center"/>
    </xf>
    <xf numFmtId="167" fontId="71" fillId="5" borderId="22" xfId="0" applyNumberFormat="1" applyFont="1" applyFill="1" applyBorder="1" applyAlignment="1">
      <alignment horizontal="center" vertical="center"/>
    </xf>
    <xf numFmtId="172" fontId="73" fillId="4" borderId="4" xfId="4" applyNumberFormat="1" applyFont="1" applyFill="1" applyBorder="1" applyAlignment="1">
      <alignment horizontal="center" vertical="center"/>
    </xf>
    <xf numFmtId="0" fontId="71" fillId="5" borderId="0" xfId="0" applyFont="1" applyFill="1" applyAlignment="1">
      <alignment horizontal="center" vertical="center"/>
    </xf>
    <xf numFmtId="0" fontId="74" fillId="4" borderId="22" xfId="0" applyFont="1" applyFill="1" applyBorder="1" applyAlignment="1">
      <alignment vertical="center"/>
    </xf>
    <xf numFmtId="0" fontId="73" fillId="4" borderId="5" xfId="0" applyFont="1" applyFill="1" applyBorder="1" applyAlignment="1">
      <alignment horizontal="left" vertical="center"/>
    </xf>
    <xf numFmtId="171" fontId="71" fillId="0" borderId="1" xfId="0" applyNumberFormat="1" applyFont="1" applyBorder="1" applyAlignment="1">
      <alignment horizontal="center" vertical="center" wrapText="1"/>
    </xf>
    <xf numFmtId="0" fontId="72" fillId="5" borderId="1" xfId="0" applyFont="1" applyFill="1" applyBorder="1" applyAlignment="1">
      <alignment horizontal="center" vertical="center" wrapText="1"/>
    </xf>
    <xf numFmtId="177" fontId="79" fillId="4" borderId="1" xfId="4" applyNumberFormat="1" applyFont="1" applyFill="1" applyBorder="1" applyAlignment="1">
      <alignment horizontal="center" vertical="center"/>
    </xf>
    <xf numFmtId="0" fontId="73" fillId="5" borderId="1" xfId="0" applyFont="1" applyFill="1" applyBorder="1" applyAlignment="1">
      <alignment horizontal="left" vertical="center" wrapText="1"/>
    </xf>
    <xf numFmtId="14" fontId="73" fillId="4" borderId="1" xfId="0" applyNumberFormat="1" applyFont="1" applyFill="1" applyBorder="1" applyAlignment="1">
      <alignment horizontal="center" vertical="center"/>
    </xf>
    <xf numFmtId="0" fontId="73" fillId="0" borderId="5" xfId="0" applyFont="1" applyBorder="1" applyAlignment="1">
      <alignment horizontal="left" vertical="center" wrapText="1"/>
    </xf>
    <xf numFmtId="172" fontId="73" fillId="5" borderId="4" xfId="4" applyNumberFormat="1" applyFont="1" applyFill="1" applyBorder="1" applyAlignment="1">
      <alignment horizontal="center" vertical="center"/>
    </xf>
    <xf numFmtId="171" fontId="71" fillId="4" borderId="6" xfId="0" applyNumberFormat="1" applyFont="1" applyFill="1" applyBorder="1" applyAlignment="1">
      <alignment horizontal="center" vertical="center"/>
    </xf>
    <xf numFmtId="0" fontId="25" fillId="0" borderId="5" xfId="0" applyFont="1" applyBorder="1" applyAlignment="1">
      <alignment horizontal="center"/>
    </xf>
    <xf numFmtId="0" fontId="25" fillId="0" borderId="22" xfId="0" applyFont="1" applyBorder="1" applyAlignment="1">
      <alignment horizontal="center"/>
    </xf>
    <xf numFmtId="166" fontId="72" fillId="7" borderId="5" xfId="0" applyNumberFormat="1" applyFont="1" applyFill="1" applyBorder="1" applyAlignment="1">
      <alignment horizontal="center" vertical="center"/>
    </xf>
    <xf numFmtId="0" fontId="61" fillId="4" borderId="5" xfId="0" applyFont="1" applyFill="1" applyBorder="1" applyAlignment="1">
      <alignment horizontal="center" vertical="center"/>
    </xf>
    <xf numFmtId="172" fontId="73" fillId="7" borderId="1" xfId="4" applyNumberFormat="1" applyFont="1" applyFill="1" applyBorder="1" applyAlignment="1">
      <alignment horizontal="center" vertical="center"/>
    </xf>
    <xf numFmtId="0" fontId="0" fillId="0" borderId="7" xfId="0" applyBorder="1"/>
    <xf numFmtId="171" fontId="72" fillId="5" borderId="5" xfId="0" applyNumberFormat="1" applyFont="1" applyFill="1" applyBorder="1" applyAlignment="1">
      <alignment horizontal="center" vertical="center"/>
    </xf>
    <xf numFmtId="0" fontId="61" fillId="5" borderId="5" xfId="0" applyFont="1" applyFill="1" applyBorder="1"/>
    <xf numFmtId="14" fontId="71" fillId="5" borderId="22" xfId="0" applyNumberFormat="1" applyFont="1" applyFill="1" applyBorder="1" applyAlignment="1">
      <alignment horizontal="center" vertical="center"/>
    </xf>
    <xf numFmtId="171" fontId="71" fillId="4" borderId="9" xfId="0" applyNumberFormat="1" applyFont="1" applyFill="1" applyBorder="1" applyAlignment="1">
      <alignment horizontal="center" vertical="center"/>
    </xf>
    <xf numFmtId="171" fontId="59" fillId="4" borderId="8" xfId="0" applyNumberFormat="1" applyFont="1" applyFill="1" applyBorder="1" applyAlignment="1">
      <alignment horizontal="center" vertical="center"/>
    </xf>
    <xf numFmtId="0" fontId="72" fillId="44" borderId="5" xfId="0" applyFont="1" applyFill="1" applyBorder="1" applyAlignment="1">
      <alignment horizontal="center" vertical="center" wrapText="1"/>
    </xf>
    <xf numFmtId="14" fontId="72" fillId="5" borderId="1" xfId="0" applyNumberFormat="1" applyFont="1" applyFill="1" applyBorder="1" applyAlignment="1">
      <alignment horizontal="center" vertical="center"/>
    </xf>
    <xf numFmtId="0" fontId="71" fillId="5" borderId="4" xfId="0" applyFont="1" applyFill="1" applyBorder="1" applyAlignment="1">
      <alignment horizontal="left" vertical="center"/>
    </xf>
    <xf numFmtId="0" fontId="72" fillId="5" borderId="4" xfId="0" applyFont="1" applyFill="1" applyBorder="1" applyAlignment="1">
      <alignment horizontal="center" vertical="center"/>
    </xf>
    <xf numFmtId="166" fontId="72" fillId="5" borderId="4" xfId="0" applyNumberFormat="1" applyFont="1" applyFill="1" applyBorder="1" applyAlignment="1">
      <alignment horizontal="center" vertical="center"/>
    </xf>
    <xf numFmtId="171" fontId="73" fillId="5" borderId="4" xfId="0" applyNumberFormat="1" applyFont="1" applyFill="1" applyBorder="1" applyAlignment="1">
      <alignment horizontal="center" vertical="center"/>
    </xf>
    <xf numFmtId="0" fontId="76" fillId="45" borderId="4" xfId="0" applyFont="1" applyFill="1" applyBorder="1" applyAlignment="1">
      <alignment horizontal="center" vertical="center"/>
    </xf>
    <xf numFmtId="165" fontId="72" fillId="5" borderId="4" xfId="4" applyFont="1" applyFill="1" applyBorder="1" applyAlignment="1">
      <alignment horizontal="center" vertical="center"/>
    </xf>
    <xf numFmtId="0" fontId="61" fillId="5" borderId="4" xfId="0" applyFont="1" applyFill="1" applyBorder="1"/>
    <xf numFmtId="0" fontId="71" fillId="7" borderId="4" xfId="0" applyFont="1" applyFill="1" applyBorder="1" applyAlignment="1">
      <alignment horizontal="center" vertical="center"/>
    </xf>
    <xf numFmtId="0" fontId="60" fillId="5" borderId="0" xfId="0" applyFont="1" applyFill="1" applyAlignment="1">
      <alignment horizontal="center"/>
    </xf>
    <xf numFmtId="0" fontId="74" fillId="4" borderId="4" xfId="0" applyFont="1" applyFill="1" applyBorder="1" applyAlignment="1">
      <alignment horizontal="center" vertical="center"/>
    </xf>
    <xf numFmtId="0" fontId="72" fillId="4" borderId="5" xfId="0" applyFont="1" applyFill="1" applyBorder="1" applyAlignment="1">
      <alignment horizontal="left" vertical="center"/>
    </xf>
    <xf numFmtId="0" fontId="72" fillId="44" borderId="1" xfId="0" applyFont="1" applyFill="1" applyBorder="1" applyAlignment="1">
      <alignment horizontal="center" vertical="center" wrapText="1"/>
    </xf>
    <xf numFmtId="173" fontId="71" fillId="0" borderId="1" xfId="0" applyNumberFormat="1" applyFont="1" applyBorder="1" applyAlignment="1">
      <alignment horizontal="center" vertical="center"/>
    </xf>
    <xf numFmtId="0" fontId="72" fillId="4" borderId="5" xfId="0" applyFont="1" applyFill="1" applyBorder="1"/>
    <xf numFmtId="171" fontId="72" fillId="0" borderId="4" xfId="0" applyNumberFormat="1" applyFont="1" applyBorder="1" applyAlignment="1">
      <alignment horizontal="center" vertical="center"/>
    </xf>
    <xf numFmtId="165" fontId="72" fillId="0" borderId="5" xfId="4" applyFont="1" applyBorder="1" applyAlignment="1">
      <alignment horizontal="center"/>
    </xf>
    <xf numFmtId="0" fontId="61" fillId="5" borderId="36" xfId="0" applyFont="1" applyFill="1" applyBorder="1"/>
    <xf numFmtId="0" fontId="80" fillId="44" borderId="50" xfId="0" applyFont="1" applyFill="1" applyBorder="1" applyAlignment="1">
      <alignment horizontal="center"/>
    </xf>
    <xf numFmtId="0" fontId="80" fillId="44" borderId="51" xfId="0" applyFont="1" applyFill="1" applyBorder="1" applyAlignment="1">
      <alignment horizontal="center"/>
    </xf>
    <xf numFmtId="0" fontId="80" fillId="44" borderId="52" xfId="0" applyFont="1" applyFill="1" applyBorder="1" applyAlignment="1">
      <alignment horizontal="center"/>
    </xf>
    <xf numFmtId="0" fontId="26" fillId="4" borderId="1" xfId="0" applyFont="1" applyFill="1" applyBorder="1" applyAlignment="1">
      <alignment horizontal="center" vertical="center"/>
    </xf>
    <xf numFmtId="0" fontId="26" fillId="4" borderId="5" xfId="0" applyFont="1" applyFill="1" applyBorder="1" applyAlignment="1">
      <alignment horizontal="center" vertical="center"/>
    </xf>
    <xf numFmtId="0" fontId="26" fillId="4" borderId="4" xfId="0" applyFont="1" applyFill="1" applyBorder="1" applyAlignment="1">
      <alignment horizontal="center" vertical="center"/>
    </xf>
    <xf numFmtId="0" fontId="26" fillId="4" borderId="22" xfId="0" applyFont="1" applyFill="1" applyBorder="1" applyAlignment="1">
      <alignment horizontal="center" vertical="center"/>
    </xf>
    <xf numFmtId="0" fontId="26" fillId="5" borderId="5" xfId="0" applyFont="1" applyFill="1" applyBorder="1" applyAlignment="1">
      <alignment horizontal="center" vertical="center"/>
    </xf>
    <xf numFmtId="0" fontId="26" fillId="5" borderId="4" xfId="0" applyFont="1" applyFill="1" applyBorder="1" applyAlignment="1">
      <alignment horizontal="center" vertical="center"/>
    </xf>
    <xf numFmtId="0" fontId="2" fillId="0" borderId="5" xfId="576" applyBorder="1" applyAlignment="1">
      <alignment horizontal="center" vertical="center" wrapText="1"/>
    </xf>
    <xf numFmtId="0" fontId="2" fillId="0" borderId="4" xfId="576" applyBorder="1" applyAlignment="1">
      <alignment horizontal="center" vertical="center" wrapText="1"/>
    </xf>
    <xf numFmtId="0" fontId="69" fillId="41" borderId="0" xfId="576" applyFont="1" applyFill="1" applyAlignment="1">
      <alignment horizontal="center"/>
    </xf>
    <xf numFmtId="0" fontId="2" fillId="43" borderId="39" xfId="576" applyFill="1" applyBorder="1" applyAlignment="1">
      <alignment horizontal="center" vertical="center" wrapText="1"/>
    </xf>
    <xf numFmtId="0" fontId="2" fillId="43" borderId="40" xfId="576" applyFill="1" applyBorder="1" applyAlignment="1">
      <alignment horizontal="center" vertical="center" wrapText="1"/>
    </xf>
    <xf numFmtId="0" fontId="2" fillId="43" borderId="5" xfId="576" applyFill="1" applyBorder="1" applyAlignment="1">
      <alignment horizontal="center" vertical="center" wrapText="1"/>
    </xf>
    <xf numFmtId="0" fontId="2" fillId="43" borderId="4" xfId="576" applyFill="1" applyBorder="1" applyAlignment="1">
      <alignment horizontal="center" vertical="center" wrapText="1"/>
    </xf>
    <xf numFmtId="3" fontId="2" fillId="43" borderId="5" xfId="576" applyNumberFormat="1" applyFill="1" applyBorder="1" applyAlignment="1">
      <alignment horizontal="center" vertical="center" wrapText="1"/>
    </xf>
    <xf numFmtId="3" fontId="2" fillId="43" borderId="4" xfId="576" applyNumberFormat="1" applyFill="1" applyBorder="1" applyAlignment="1">
      <alignment horizontal="center" vertical="center" wrapText="1"/>
    </xf>
    <xf numFmtId="3" fontId="2" fillId="43" borderId="37" xfId="576" applyNumberFormat="1" applyFill="1" applyBorder="1" applyAlignment="1">
      <alignment horizontal="center" vertical="center" wrapText="1"/>
    </xf>
    <xf numFmtId="3" fontId="2" fillId="43" borderId="38" xfId="576" applyNumberFormat="1" applyFill="1" applyBorder="1" applyAlignment="1">
      <alignment horizontal="center" vertical="center" wrapText="1"/>
    </xf>
    <xf numFmtId="0" fontId="2" fillId="43" borderId="22" xfId="576" applyFill="1" applyBorder="1" applyAlignment="1">
      <alignment horizontal="center" vertical="center" wrapText="1"/>
    </xf>
    <xf numFmtId="3" fontId="2" fillId="8" borderId="5" xfId="576" applyNumberFormat="1" applyFill="1" applyBorder="1" applyAlignment="1">
      <alignment horizontal="center" vertical="center" wrapText="1"/>
    </xf>
    <xf numFmtId="3" fontId="2" fillId="8" borderId="4" xfId="576" applyNumberFormat="1" applyFill="1" applyBorder="1" applyAlignment="1">
      <alignment horizontal="center" vertical="center" wrapText="1"/>
    </xf>
    <xf numFmtId="3" fontId="2" fillId="8" borderId="37" xfId="576" applyNumberFormat="1" applyFill="1" applyBorder="1" applyAlignment="1">
      <alignment horizontal="center" vertical="center" wrapText="1"/>
    </xf>
    <xf numFmtId="3" fontId="2" fillId="8" borderId="38" xfId="576" applyNumberFormat="1" applyFill="1" applyBorder="1" applyAlignment="1">
      <alignment horizontal="center" vertical="center" wrapText="1"/>
    </xf>
    <xf numFmtId="0" fontId="2" fillId="0" borderId="39" xfId="576" applyBorder="1" applyAlignment="1">
      <alignment horizontal="center" vertical="center" wrapText="1"/>
    </xf>
    <xf numFmtId="0" fontId="2" fillId="0" borderId="40" xfId="576" applyBorder="1" applyAlignment="1">
      <alignment horizontal="center" vertical="center" wrapText="1"/>
    </xf>
    <xf numFmtId="0" fontId="2" fillId="43" borderId="41" xfId="576" applyFill="1" applyBorder="1" applyAlignment="1">
      <alignment horizontal="center" vertical="center" wrapText="1"/>
    </xf>
    <xf numFmtId="0" fontId="2" fillId="43" borderId="37" xfId="576" applyFill="1" applyBorder="1" applyAlignment="1">
      <alignment horizontal="center" vertical="center" wrapText="1"/>
    </xf>
    <xf numFmtId="0" fontId="2" fillId="43" borderId="42" xfId="576" applyFill="1" applyBorder="1" applyAlignment="1">
      <alignment horizontal="center" vertical="center" wrapText="1"/>
    </xf>
    <xf numFmtId="0" fontId="2" fillId="43" borderId="38" xfId="576" applyFill="1" applyBorder="1" applyAlignment="1">
      <alignment horizontal="center" vertical="center" wrapText="1"/>
    </xf>
  </cellXfs>
  <cellStyles count="578">
    <cellStyle name="20% - Accent1 2" xfId="33" xr:uid="{542D138F-FBB5-4125-AB17-CDD7CF0AC97A}"/>
    <cellStyle name="20% - Accent1 2 10" xfId="83" xr:uid="{F6D3DC1F-C0C7-417D-8B8B-4BCC165A8EFA}"/>
    <cellStyle name="20% - Accent1 2 11" xfId="84" xr:uid="{9DBEDDEF-9A1D-410B-A5A8-294D7B4EE5EB}"/>
    <cellStyle name="20% - Accent1 2 12" xfId="85" xr:uid="{F4DA1152-4AC5-4A7E-9ACE-60B494572E41}"/>
    <cellStyle name="20% - Accent1 2 13" xfId="86" xr:uid="{04F99144-F474-4A60-8113-3E9D32737E8A}"/>
    <cellStyle name="20% - Accent1 2 14" xfId="87" xr:uid="{0EC9D22D-5ED8-4733-B830-D6A1C629B684}"/>
    <cellStyle name="20% - Accent1 2 2" xfId="88" xr:uid="{0FA68E85-9A7F-449D-AE7A-DDE58A9C9306}"/>
    <cellStyle name="20% - Accent1 2 3" xfId="89" xr:uid="{45C8FD00-4A28-45F6-BD2F-8ACA4B134CF2}"/>
    <cellStyle name="20% - Accent1 2 4" xfId="90" xr:uid="{812F74AB-3344-454B-A406-5FF03FB9A010}"/>
    <cellStyle name="20% - Accent1 2 5" xfId="91" xr:uid="{DBFC0ADC-E527-4370-B695-6ECA2FEEAF7D}"/>
    <cellStyle name="20% - Accent1 2 6" xfId="92" xr:uid="{3F62F926-A786-4811-AECC-5312A09AB5C9}"/>
    <cellStyle name="20% - Accent1 2 7" xfId="93" xr:uid="{42245DBE-2B58-49CB-A446-5B2D518A9483}"/>
    <cellStyle name="20% - Accent1 2 8" xfId="94" xr:uid="{B246E328-37D6-4905-B7EC-9E60C2D8BE99}"/>
    <cellStyle name="20% - Accent1 2 9" xfId="95" xr:uid="{8EF10090-E46B-4EFE-88D7-C33107BCD6D7}"/>
    <cellStyle name="20% - Accent2 2" xfId="34" xr:uid="{7315AAAB-ACDE-45B0-BECC-5921643763EB}"/>
    <cellStyle name="20% - Accent2 2 10" xfId="96" xr:uid="{2E891C0C-A612-4108-AA33-20C8A897C140}"/>
    <cellStyle name="20% - Accent2 2 11" xfId="97" xr:uid="{194CC1D0-2A83-41EF-9A07-5C7223125521}"/>
    <cellStyle name="20% - Accent2 2 12" xfId="98" xr:uid="{5E4FA821-8C2D-4FC4-B742-7A268F17A64E}"/>
    <cellStyle name="20% - Accent2 2 13" xfId="99" xr:uid="{8E0E309B-B339-46DB-9A72-AE140A57DAD5}"/>
    <cellStyle name="20% - Accent2 2 14" xfId="100" xr:uid="{654E5EE4-F47A-476C-9960-363F3F33638F}"/>
    <cellStyle name="20% - Accent2 2 2" xfId="101" xr:uid="{59B4481F-0896-42F7-B466-49471516FCFC}"/>
    <cellStyle name="20% - Accent2 2 3" xfId="102" xr:uid="{09A1754D-42F6-4C77-9F88-9A67C424D19E}"/>
    <cellStyle name="20% - Accent2 2 4" xfId="103" xr:uid="{30097563-3ECF-4577-BAE6-638558965B94}"/>
    <cellStyle name="20% - Accent2 2 5" xfId="104" xr:uid="{9B12B518-6AAA-4F37-861F-F15D12B11CC1}"/>
    <cellStyle name="20% - Accent2 2 6" xfId="105" xr:uid="{BCD5AE02-71D2-45DD-A2F1-AC285751E55F}"/>
    <cellStyle name="20% - Accent2 2 7" xfId="106" xr:uid="{BE19DD57-10AA-4C78-B2D2-4F8B62310CFA}"/>
    <cellStyle name="20% - Accent2 2 8" xfId="107" xr:uid="{CE4E1D47-A7CE-48A7-8C50-BF0CF67C15EB}"/>
    <cellStyle name="20% - Accent2 2 9" xfId="108" xr:uid="{D4EE1FBA-9D09-47B9-B045-9AF0C25232ED}"/>
    <cellStyle name="20% - Accent3 2" xfId="35" xr:uid="{0742F321-65A7-4A10-B3A1-FCF76ED96E8D}"/>
    <cellStyle name="20% - Accent3 2 10" xfId="109" xr:uid="{A7C06506-DF78-4C5D-AF70-BE2F59321C5E}"/>
    <cellStyle name="20% - Accent3 2 11" xfId="110" xr:uid="{AC82014B-958F-4991-AB5F-CA248B6D6131}"/>
    <cellStyle name="20% - Accent3 2 12" xfId="111" xr:uid="{B710FE0B-933F-4D35-A0E8-420AF3A7BE7E}"/>
    <cellStyle name="20% - Accent3 2 13" xfId="112" xr:uid="{6BC2201B-68C3-4312-A0D1-E69FA2822F41}"/>
    <cellStyle name="20% - Accent3 2 14" xfId="113" xr:uid="{343A1B9F-9084-42E9-A0ED-EBD4AEB70598}"/>
    <cellStyle name="20% - Accent3 2 2" xfId="114" xr:uid="{83BBEA56-DE47-46DA-8E2A-6C2C8CE1E5A8}"/>
    <cellStyle name="20% - Accent3 2 3" xfId="115" xr:uid="{B3EBC1F7-ACC9-4243-9770-FFA1EACBBD76}"/>
    <cellStyle name="20% - Accent3 2 4" xfId="116" xr:uid="{73FD612B-F1E1-4C30-82BD-A0979B0DB02D}"/>
    <cellStyle name="20% - Accent3 2 5" xfId="117" xr:uid="{92E3B500-F799-49C2-9A2B-8375B7CACB39}"/>
    <cellStyle name="20% - Accent3 2 6" xfId="118" xr:uid="{9B5171D7-E739-4F65-9154-CADC05E5D613}"/>
    <cellStyle name="20% - Accent3 2 7" xfId="119" xr:uid="{95870482-D8F8-44F4-A5AA-780A6FDB8B22}"/>
    <cellStyle name="20% - Accent3 2 8" xfId="120" xr:uid="{23C69FFF-8FA7-4C62-8F53-60636F3CA434}"/>
    <cellStyle name="20% - Accent3 2 9" xfId="121" xr:uid="{093BE08C-AA5E-436B-A0BF-F1970531BEE0}"/>
    <cellStyle name="20% - Accent4 2" xfId="36" xr:uid="{B68E93AC-DB01-439E-A267-2EC043472682}"/>
    <cellStyle name="20% - Accent4 2 10" xfId="122" xr:uid="{20459F18-25A7-4F4B-8DE1-54A07BC2D5B8}"/>
    <cellStyle name="20% - Accent4 2 11" xfId="123" xr:uid="{4157B0BA-723C-4F31-84C1-C6D0475248C4}"/>
    <cellStyle name="20% - Accent4 2 12" xfId="124" xr:uid="{1DBFFD05-94A5-4359-BA8D-055471870FF6}"/>
    <cellStyle name="20% - Accent4 2 13" xfId="125" xr:uid="{2BC27ACB-D040-424E-95C9-7DA7AB38C528}"/>
    <cellStyle name="20% - Accent4 2 14" xfId="126" xr:uid="{B9908076-D2EC-4FB3-BD52-EF950B9AA375}"/>
    <cellStyle name="20% - Accent4 2 2" xfId="127" xr:uid="{062576B9-EC93-4B2B-8B0F-AC265946CA06}"/>
    <cellStyle name="20% - Accent4 2 3" xfId="128" xr:uid="{66BA6DD7-C597-46B0-B0DC-6BCCFECD5213}"/>
    <cellStyle name="20% - Accent4 2 4" xfId="129" xr:uid="{C46AD739-0059-4B41-B615-BA5B7D43B2E6}"/>
    <cellStyle name="20% - Accent4 2 5" xfId="130" xr:uid="{E7C230CE-D29D-45E5-87D3-07627FCB4603}"/>
    <cellStyle name="20% - Accent4 2 6" xfId="131" xr:uid="{70F30F1A-8010-4BA8-94D2-A39CAA4D0364}"/>
    <cellStyle name="20% - Accent4 2 7" xfId="132" xr:uid="{0DEABB08-F705-4CB2-83D6-A1CA2FB3B9E7}"/>
    <cellStyle name="20% - Accent4 2 8" xfId="133" xr:uid="{BFDB79A4-00BE-4522-A7B3-C957C61A8FE0}"/>
    <cellStyle name="20% - Accent4 2 9" xfId="134" xr:uid="{DCD81607-C55B-462A-B1EC-4C2F7829A7DE}"/>
    <cellStyle name="20% - Accent5 2" xfId="37" xr:uid="{92B59FFA-9681-4555-8CAF-541572A8D76D}"/>
    <cellStyle name="20% - Accent5 2 10" xfId="135" xr:uid="{A61A8A99-BFC2-4B32-91C8-135FF58AC0E2}"/>
    <cellStyle name="20% - Accent5 2 11" xfId="136" xr:uid="{2E0E6553-0970-4062-8F6E-93593F618732}"/>
    <cellStyle name="20% - Accent5 2 12" xfId="137" xr:uid="{B5BEA00B-580C-4335-8D6B-296831E0C63E}"/>
    <cellStyle name="20% - Accent5 2 13" xfId="138" xr:uid="{3DF67A92-CAA1-4F5D-87F0-8661BED68BEE}"/>
    <cellStyle name="20% - Accent5 2 14" xfId="139" xr:uid="{F92E09F1-026F-4E09-9451-E7047FB231E2}"/>
    <cellStyle name="20% - Accent5 2 2" xfId="140" xr:uid="{7CABA8EC-776C-46C4-91B8-53FC1106E48F}"/>
    <cellStyle name="20% - Accent5 2 3" xfId="141" xr:uid="{3A672D42-32E1-464A-8831-AB29CC492121}"/>
    <cellStyle name="20% - Accent5 2 4" xfId="142" xr:uid="{EAB91A3C-75F4-433A-8D07-23498CA525C0}"/>
    <cellStyle name="20% - Accent5 2 5" xfId="143" xr:uid="{C98CB9F8-08B4-4B4C-B65D-D7870732F043}"/>
    <cellStyle name="20% - Accent5 2 6" xfId="144" xr:uid="{B621D08D-1630-420B-8108-CF78E2EC6AA0}"/>
    <cellStyle name="20% - Accent5 2 7" xfId="145" xr:uid="{A8D4A9D9-8303-46EC-B291-785916DB8E7C}"/>
    <cellStyle name="20% - Accent5 2 8" xfId="146" xr:uid="{B469EA71-AC04-49A6-9002-731C60E74E2B}"/>
    <cellStyle name="20% - Accent5 2 9" xfId="147" xr:uid="{6ACC2C31-E5F8-4250-BF21-E1EA7D49880F}"/>
    <cellStyle name="20% - Accent6 2" xfId="38" xr:uid="{49094258-29DB-442E-A005-7161BD385E3E}"/>
    <cellStyle name="20% - Accent6 2 10" xfId="148" xr:uid="{F9A7430F-37B6-4295-9A23-74B60C9F15A8}"/>
    <cellStyle name="20% - Accent6 2 11" xfId="149" xr:uid="{9633BEA5-3FFB-45F2-ACB4-9D61B2428E1C}"/>
    <cellStyle name="20% - Accent6 2 12" xfId="150" xr:uid="{C53C90F2-F99F-415E-A9FE-5109FA133BE0}"/>
    <cellStyle name="20% - Accent6 2 13" xfId="151" xr:uid="{14605CAE-E351-48A7-BF5D-33A644468FBA}"/>
    <cellStyle name="20% - Accent6 2 14" xfId="152" xr:uid="{18EDEDA6-C762-4D64-9F66-98DA711C2A4B}"/>
    <cellStyle name="20% - Accent6 2 2" xfId="153" xr:uid="{AFFDB851-CB31-42E6-9812-547B4485B5D8}"/>
    <cellStyle name="20% - Accent6 2 3" xfId="154" xr:uid="{7CDBFE67-D05B-4C56-8CB8-C233CD12A9B2}"/>
    <cellStyle name="20% - Accent6 2 4" xfId="155" xr:uid="{8D03768E-E68C-4A2E-BC11-2E519328B5AF}"/>
    <cellStyle name="20% - Accent6 2 5" xfId="156" xr:uid="{2665FD36-12BF-4100-90E1-FD8C4C810EF4}"/>
    <cellStyle name="20% - Accent6 2 6" xfId="157" xr:uid="{B835FC4B-82FA-4E55-8940-2FF2A45731CF}"/>
    <cellStyle name="20% - Accent6 2 7" xfId="158" xr:uid="{52E861AE-1A03-4A43-A290-B48987BD808C}"/>
    <cellStyle name="20% - Accent6 2 8" xfId="159" xr:uid="{CCD1578F-5054-4971-AA9C-8F3B5091DDA0}"/>
    <cellStyle name="20% - Accent6 2 9" xfId="160" xr:uid="{9435831B-5F97-4060-AE18-5382A3F87874}"/>
    <cellStyle name="40% - Accent1 2" xfId="39" xr:uid="{35265D90-1240-4891-B79F-B0CBAB2C235E}"/>
    <cellStyle name="40% - Accent1 2 10" xfId="161" xr:uid="{6A53D171-9E6D-42D8-8186-3A17AF486B99}"/>
    <cellStyle name="40% - Accent1 2 11" xfId="162" xr:uid="{7E423D8B-4AEE-4E82-BB7C-2C923A8E325F}"/>
    <cellStyle name="40% - Accent1 2 12" xfId="163" xr:uid="{3D9F4A32-0666-43CC-9E7E-54E2CF2F0299}"/>
    <cellStyle name="40% - Accent1 2 13" xfId="164" xr:uid="{3E2C2709-F20C-4644-ACAC-2E08A802842F}"/>
    <cellStyle name="40% - Accent1 2 14" xfId="165" xr:uid="{B81E2213-2892-43F7-81AD-69D032A12133}"/>
    <cellStyle name="40% - Accent1 2 2" xfId="166" xr:uid="{735B02ED-2447-473C-A3CE-7388343C35D5}"/>
    <cellStyle name="40% - Accent1 2 3" xfId="167" xr:uid="{264EE86C-E99D-44AE-8895-B1E7895FA2F6}"/>
    <cellStyle name="40% - Accent1 2 4" xfId="168" xr:uid="{B155AD2E-6512-4128-A493-C94A1312B2D4}"/>
    <cellStyle name="40% - Accent1 2 5" xfId="169" xr:uid="{8FF512F4-8FC3-48A2-99D5-59DCD10664F4}"/>
    <cellStyle name="40% - Accent1 2 6" xfId="170" xr:uid="{D9B8F2EB-8BF8-424A-A52D-1DAD8679196D}"/>
    <cellStyle name="40% - Accent1 2 7" xfId="171" xr:uid="{99942294-ED7A-49FC-8FEA-518794FCC9C1}"/>
    <cellStyle name="40% - Accent1 2 8" xfId="172" xr:uid="{689510F2-C0C1-436F-B760-8070CF2205EA}"/>
    <cellStyle name="40% - Accent1 2 9" xfId="173" xr:uid="{DD7747CE-AC15-4294-BAB9-F6785B76DBF0}"/>
    <cellStyle name="40% - Accent2 2" xfId="40" xr:uid="{976E646D-2E36-46BB-8285-F6DED2A06174}"/>
    <cellStyle name="40% - Accent2 2 10" xfId="174" xr:uid="{BDCEAF64-FC35-438A-B70F-83FCC3B39D3F}"/>
    <cellStyle name="40% - Accent2 2 11" xfId="175" xr:uid="{60572E6E-BAB8-4A5D-AB1A-CD553E934894}"/>
    <cellStyle name="40% - Accent2 2 12" xfId="176" xr:uid="{43A08B83-FAB7-4807-BFEF-48A50FB92A2E}"/>
    <cellStyle name="40% - Accent2 2 13" xfId="177" xr:uid="{597E9935-915B-4BC9-AC64-E7B6F152720C}"/>
    <cellStyle name="40% - Accent2 2 14" xfId="178" xr:uid="{032F41B1-B5FA-4ACD-9A1C-D5061ECB52C8}"/>
    <cellStyle name="40% - Accent2 2 2" xfId="179" xr:uid="{328F40BA-0F47-4E9A-BA44-22EDF0AF9A82}"/>
    <cellStyle name="40% - Accent2 2 3" xfId="180" xr:uid="{D4A7FE81-58A6-41D5-BE6E-50F9F471DC02}"/>
    <cellStyle name="40% - Accent2 2 4" xfId="181" xr:uid="{CCE584D5-A812-4678-9D8A-05BADC136826}"/>
    <cellStyle name="40% - Accent2 2 5" xfId="182" xr:uid="{57273247-874E-4D71-A55F-ECCD6272E790}"/>
    <cellStyle name="40% - Accent2 2 6" xfId="183" xr:uid="{B0D63943-56AB-4B44-A795-3ADD0504105A}"/>
    <cellStyle name="40% - Accent2 2 7" xfId="184" xr:uid="{09A3E804-DC33-4B82-9E08-EDFACBBECC29}"/>
    <cellStyle name="40% - Accent2 2 8" xfId="185" xr:uid="{5C5CB263-BF7C-482D-A85D-2B281ECCB0D6}"/>
    <cellStyle name="40% - Accent2 2 9" xfId="186" xr:uid="{394CC6BC-3EE2-42E5-ADE9-F512195DB117}"/>
    <cellStyle name="40% - Accent3 2" xfId="41" xr:uid="{54985039-1145-4F19-8E64-18D53797E305}"/>
    <cellStyle name="40% - Accent3 2 10" xfId="187" xr:uid="{5D3A5C69-E298-42E4-BC67-7EA77CA4C2DA}"/>
    <cellStyle name="40% - Accent3 2 11" xfId="188" xr:uid="{220D0EF8-33E5-41DB-9A31-F1CBC0727688}"/>
    <cellStyle name="40% - Accent3 2 12" xfId="189" xr:uid="{2B4BB434-1009-4235-8204-B2F147875443}"/>
    <cellStyle name="40% - Accent3 2 13" xfId="190" xr:uid="{26CE0165-1EB1-4A82-8DDB-CDE4A78B0BB1}"/>
    <cellStyle name="40% - Accent3 2 14" xfId="191" xr:uid="{47EA3D66-93FC-4526-B93F-3576608FB56B}"/>
    <cellStyle name="40% - Accent3 2 2" xfId="192" xr:uid="{14F6FE26-1BB7-4C96-813F-4EB82B812A77}"/>
    <cellStyle name="40% - Accent3 2 3" xfId="193" xr:uid="{6A9B571C-2222-40F7-9470-B2695D7975F9}"/>
    <cellStyle name="40% - Accent3 2 4" xfId="194" xr:uid="{8C4D033B-E213-4A21-A593-E1E65D7ED8F6}"/>
    <cellStyle name="40% - Accent3 2 5" xfId="195" xr:uid="{1FC71CD5-E402-411B-9683-FCAB9BDFD9FE}"/>
    <cellStyle name="40% - Accent3 2 6" xfId="196" xr:uid="{24602AE7-36F1-419B-9204-1563428A66B9}"/>
    <cellStyle name="40% - Accent3 2 7" xfId="197" xr:uid="{D7D1655B-2C81-4ABD-86FB-365CB4A019E4}"/>
    <cellStyle name="40% - Accent3 2 8" xfId="198" xr:uid="{FC7C73B5-DEB3-45D7-A089-19DD9156AC7D}"/>
    <cellStyle name="40% - Accent3 2 9" xfId="199" xr:uid="{370056DA-38EA-49A0-BDD9-ACAE03111100}"/>
    <cellStyle name="40% - Accent4 2" xfId="42" xr:uid="{178BED6A-0458-4B87-BD2F-A43F16B8F42A}"/>
    <cellStyle name="40% - Accent4 2 10" xfId="200" xr:uid="{FB598E44-B3AC-45D1-8171-0F6A77FE8E22}"/>
    <cellStyle name="40% - Accent4 2 11" xfId="201" xr:uid="{B3A8FD38-7AE7-4299-B716-0729BA136664}"/>
    <cellStyle name="40% - Accent4 2 12" xfId="202" xr:uid="{BB3AC024-294E-4E43-9029-CD9C3DDDCEA5}"/>
    <cellStyle name="40% - Accent4 2 13" xfId="203" xr:uid="{E7F914DE-13C8-4979-9636-5E355AB5DD9C}"/>
    <cellStyle name="40% - Accent4 2 14" xfId="204" xr:uid="{BB4647ED-5EAC-40F2-ACCB-817ABFA064BB}"/>
    <cellStyle name="40% - Accent4 2 2" xfId="205" xr:uid="{D1B342C7-2C90-413B-92CF-00B4803D7FBB}"/>
    <cellStyle name="40% - Accent4 2 3" xfId="206" xr:uid="{9C8ED6F3-C45A-4817-AB27-ECFD8CB6CC7B}"/>
    <cellStyle name="40% - Accent4 2 4" xfId="207" xr:uid="{7CB6E7E6-D3D1-46B2-B09D-9690A85DB6F4}"/>
    <cellStyle name="40% - Accent4 2 5" xfId="208" xr:uid="{F9C5A73A-5F27-4A26-BE0B-2ACEFD35FC1F}"/>
    <cellStyle name="40% - Accent4 2 6" xfId="209" xr:uid="{967FDFE6-54B2-4BA8-A588-8FA2669AE3C3}"/>
    <cellStyle name="40% - Accent4 2 7" xfId="210" xr:uid="{A0A4C896-7FA0-4D6F-8975-C5DCB9BA0E31}"/>
    <cellStyle name="40% - Accent4 2 8" xfId="211" xr:uid="{32B11669-3DB8-49B1-B9F7-235A2AFF4706}"/>
    <cellStyle name="40% - Accent4 2 9" xfId="212" xr:uid="{7BEDDB03-B24D-4C0F-A6BB-3E3DC1571DDF}"/>
    <cellStyle name="40% - Accent5 2" xfId="43" xr:uid="{CFA51130-A0B9-4F7B-AD7A-92748816767E}"/>
    <cellStyle name="40% - Accent5 2 10" xfId="213" xr:uid="{1F65EB3C-2A55-461B-97E0-517A93766042}"/>
    <cellStyle name="40% - Accent5 2 11" xfId="214" xr:uid="{214983E1-BC89-4DC8-A773-B5BCC5F2BC5C}"/>
    <cellStyle name="40% - Accent5 2 12" xfId="215" xr:uid="{87825B37-2766-4D27-84C7-979B6C344B15}"/>
    <cellStyle name="40% - Accent5 2 13" xfId="216" xr:uid="{D9F827B1-CF93-4F3B-9FCA-5200E113100F}"/>
    <cellStyle name="40% - Accent5 2 14" xfId="217" xr:uid="{05FF594C-DDAB-4381-AEA7-7D1691BEC468}"/>
    <cellStyle name="40% - Accent5 2 2" xfId="218" xr:uid="{D5D69DA2-B4BC-49FF-A435-7F34BCB727CB}"/>
    <cellStyle name="40% - Accent5 2 3" xfId="219" xr:uid="{B37697C8-F8EC-4F40-AD05-FE75615A6768}"/>
    <cellStyle name="40% - Accent5 2 4" xfId="220" xr:uid="{C40F053C-9DCC-47FF-927F-CCBBA9D18E7D}"/>
    <cellStyle name="40% - Accent5 2 5" xfId="221" xr:uid="{6321EEAE-7178-47F0-9612-0A8093276264}"/>
    <cellStyle name="40% - Accent5 2 6" xfId="222" xr:uid="{718A937C-A05F-4A3A-857D-3B9ACF1F64BD}"/>
    <cellStyle name="40% - Accent5 2 7" xfId="223" xr:uid="{2548B1C8-76DB-47A2-B304-05827293A612}"/>
    <cellStyle name="40% - Accent5 2 8" xfId="224" xr:uid="{3A1D3CB7-0332-49B2-BD57-B0E04B0720F4}"/>
    <cellStyle name="40% - Accent5 2 9" xfId="225" xr:uid="{7D2F2628-D459-49A6-ABB9-0E325E977AA7}"/>
    <cellStyle name="40% - Accent6 2" xfId="44" xr:uid="{840A0495-5C11-4858-A880-0EDEA1BE01C8}"/>
    <cellStyle name="40% - Accent6 2 10" xfId="226" xr:uid="{14B30C51-5653-4F7A-A2DF-A5E902FFF28C}"/>
    <cellStyle name="40% - Accent6 2 11" xfId="227" xr:uid="{12A3C3A0-2476-4719-AB5E-58553395F560}"/>
    <cellStyle name="40% - Accent6 2 12" xfId="228" xr:uid="{BDA88A61-5676-4BA7-8FC9-76979933F1BD}"/>
    <cellStyle name="40% - Accent6 2 13" xfId="229" xr:uid="{DF0F5219-38F3-4B52-A660-C3872BE9575F}"/>
    <cellStyle name="40% - Accent6 2 14" xfId="230" xr:uid="{3E61078D-4DD6-49F1-A7A2-E12ACAE2BE79}"/>
    <cellStyle name="40% - Accent6 2 2" xfId="231" xr:uid="{ABA7718B-2318-4261-8FB2-137A22EC5C54}"/>
    <cellStyle name="40% - Accent6 2 3" xfId="232" xr:uid="{637E8334-E91F-439E-9C84-9961324006AC}"/>
    <cellStyle name="40% - Accent6 2 4" xfId="233" xr:uid="{243B9C09-6B3F-4FCD-9516-9507838CD239}"/>
    <cellStyle name="40% - Accent6 2 5" xfId="234" xr:uid="{7BC504BC-4C7C-4316-836D-F86CFD17577E}"/>
    <cellStyle name="40% - Accent6 2 6" xfId="235" xr:uid="{7F4DD2A1-E51C-4931-9698-26E36CA02922}"/>
    <cellStyle name="40% - Accent6 2 7" xfId="236" xr:uid="{898781FE-73A8-4BDE-8DA8-58FA3327F731}"/>
    <cellStyle name="40% - Accent6 2 8" xfId="237" xr:uid="{ED7E2712-D0AB-4233-BFD6-588C7377F3B2}"/>
    <cellStyle name="40% - Accent6 2 9" xfId="238" xr:uid="{3A5F9F4C-CBC3-4C64-BAAE-94E741B67CF3}"/>
    <cellStyle name="60% - Accent1 2" xfId="45" xr:uid="{FF87ADD1-2FD1-4F32-AC1C-95E3273D96F1}"/>
    <cellStyle name="60% - Accent1 2 10" xfId="239" xr:uid="{84717CC3-30AE-4740-A5D8-E60794E01713}"/>
    <cellStyle name="60% - Accent1 2 2" xfId="240" xr:uid="{41967B0A-5143-4E3E-A3EF-FBE1A3641B59}"/>
    <cellStyle name="60% - Accent1 2 3" xfId="241" xr:uid="{AFB6C15F-A54D-47BF-9696-FF6A3D84D478}"/>
    <cellStyle name="60% - Accent1 2 4" xfId="242" xr:uid="{77F5857C-2856-47E1-A49E-C4E69932469D}"/>
    <cellStyle name="60% - Accent1 2 5" xfId="243" xr:uid="{D9E61A0B-DFFF-46E4-8AE7-8A2C65A49646}"/>
    <cellStyle name="60% - Accent1 2 6" xfId="244" xr:uid="{38CF7C26-AE42-4FD4-B27E-902CD88FC3C9}"/>
    <cellStyle name="60% - Accent1 2 7" xfId="245" xr:uid="{5E05EE9F-298C-4E9C-89E4-D4928768BB6B}"/>
    <cellStyle name="60% - Accent1 2 8" xfId="246" xr:uid="{50201850-54EC-4829-B4ED-B9040C836AD4}"/>
    <cellStyle name="60% - Accent1 2 9" xfId="247" xr:uid="{1C80AE78-0F91-4885-B6CA-21D5F1DB8455}"/>
    <cellStyle name="60% - Accent2 2" xfId="46" xr:uid="{00463F98-95DB-46EE-9A6C-EE98C468150E}"/>
    <cellStyle name="60% - Accent2 2 10" xfId="248" xr:uid="{B60CEA49-30D7-4B4E-97C0-A561EA9D5292}"/>
    <cellStyle name="60% - Accent2 2 2" xfId="249" xr:uid="{6D1D99A3-B0ED-45AB-8CA1-82EAA681F8A6}"/>
    <cellStyle name="60% - Accent2 2 3" xfId="250" xr:uid="{748AA7FE-D16F-492F-8453-91D71AA2B8AB}"/>
    <cellStyle name="60% - Accent2 2 4" xfId="251" xr:uid="{033BD04A-D51E-4D15-9609-6F39702D7D0F}"/>
    <cellStyle name="60% - Accent2 2 5" xfId="252" xr:uid="{6E7164D6-8915-4B91-BFB0-CE93F58A55F2}"/>
    <cellStyle name="60% - Accent2 2 6" xfId="253" xr:uid="{C89A8EB1-FD87-4910-96FA-1B29ADD34E28}"/>
    <cellStyle name="60% - Accent2 2 7" xfId="254" xr:uid="{02CCC848-C48C-4407-B9FB-100783DCD0F1}"/>
    <cellStyle name="60% - Accent2 2 8" xfId="255" xr:uid="{D9AB4AB4-879A-4FC2-A8CC-51E79D01D2E9}"/>
    <cellStyle name="60% - Accent2 2 9" xfId="256" xr:uid="{0A820F1C-F68F-41DD-A7A2-50D828F0813F}"/>
    <cellStyle name="60% - Accent3 2" xfId="47" xr:uid="{919C5804-CC88-4E5B-87EC-8507C9858F70}"/>
    <cellStyle name="60% - Accent3 2 10" xfId="257" xr:uid="{C91320B3-9A05-4EFC-9F00-08BFB3C23DA3}"/>
    <cellStyle name="60% - Accent3 2 2" xfId="258" xr:uid="{2D5EF232-24D0-4B45-977A-9F6D6292A683}"/>
    <cellStyle name="60% - Accent3 2 3" xfId="259" xr:uid="{5DA20C6F-8A1C-48A1-81D4-99D44840F6EE}"/>
    <cellStyle name="60% - Accent3 2 4" xfId="260" xr:uid="{F0C5D642-2734-41BF-B949-8D0F6F48C5C2}"/>
    <cellStyle name="60% - Accent3 2 5" xfId="261" xr:uid="{F9F80B93-9949-4DF1-85B9-6D17C15A7B28}"/>
    <cellStyle name="60% - Accent3 2 6" xfId="262" xr:uid="{7A44AB58-0B8C-475F-8FA9-A5E1ED639119}"/>
    <cellStyle name="60% - Accent3 2 7" xfId="263" xr:uid="{08B87DF2-4AE6-4FBC-BB5C-3CD652D08645}"/>
    <cellStyle name="60% - Accent3 2 8" xfId="264" xr:uid="{794C849F-0873-4628-AB63-E6AFB4B25266}"/>
    <cellStyle name="60% - Accent3 2 9" xfId="265" xr:uid="{3402B522-67D9-4DE3-A7E3-A6E2E150A538}"/>
    <cellStyle name="60% - Accent4 2" xfId="48" xr:uid="{76F1E5BC-55F6-4220-AA5F-9C7E956F2054}"/>
    <cellStyle name="60% - Accent4 2 10" xfId="266" xr:uid="{B525FEF0-6C21-4205-BAB5-7B1DD6E58CF0}"/>
    <cellStyle name="60% - Accent4 2 2" xfId="267" xr:uid="{33FF2356-EBB6-495B-A8AF-9DD7DF8A2BE0}"/>
    <cellStyle name="60% - Accent4 2 3" xfId="268" xr:uid="{4E123897-1EF2-4DC3-A477-8247F038DB89}"/>
    <cellStyle name="60% - Accent4 2 4" xfId="269" xr:uid="{5D8381B2-B6EC-465A-8ACB-A84A8275B690}"/>
    <cellStyle name="60% - Accent4 2 5" xfId="270" xr:uid="{51B3B897-B989-46CD-8D5A-0AEB4E45CD60}"/>
    <cellStyle name="60% - Accent4 2 6" xfId="271" xr:uid="{DE47C595-6AF5-45FA-8705-C43C69FB06E5}"/>
    <cellStyle name="60% - Accent4 2 7" xfId="272" xr:uid="{F859B1B4-E2DF-49B7-9EB3-B70E7BEE4C15}"/>
    <cellStyle name="60% - Accent4 2 8" xfId="273" xr:uid="{A93B0A7A-1E93-4737-BE22-98A577F0981C}"/>
    <cellStyle name="60% - Accent4 2 9" xfId="274" xr:uid="{BF5AB2EC-58E3-4EA3-9850-15497F0B61F7}"/>
    <cellStyle name="60% - Accent5 2" xfId="49" xr:uid="{EC43CFEE-4903-4348-AB99-F548593D9744}"/>
    <cellStyle name="60% - Accent5 2 10" xfId="275" xr:uid="{021856B2-BA95-47DF-A5DC-89603A03EA8C}"/>
    <cellStyle name="60% - Accent5 2 2" xfId="276" xr:uid="{F7A7CE5C-2DD9-4DE0-A26B-C2EBA5F37C39}"/>
    <cellStyle name="60% - Accent5 2 3" xfId="277" xr:uid="{D7F12B85-6DC8-48C4-8366-B428668CEA8E}"/>
    <cellStyle name="60% - Accent5 2 4" xfId="278" xr:uid="{9562024B-864F-4ED6-B61A-D8172059C4A6}"/>
    <cellStyle name="60% - Accent5 2 5" xfId="279" xr:uid="{CE9D4338-8D8A-4DCB-BCAF-E3FA11795221}"/>
    <cellStyle name="60% - Accent5 2 6" xfId="280" xr:uid="{0CAC6AD1-1C8E-4072-A8D0-3FF3B725C048}"/>
    <cellStyle name="60% - Accent5 2 7" xfId="281" xr:uid="{F433FD56-6018-4904-8EB0-89EA0F0CF363}"/>
    <cellStyle name="60% - Accent5 2 8" xfId="282" xr:uid="{263FD0D5-3F68-46AC-80C6-5FF0788F05C9}"/>
    <cellStyle name="60% - Accent5 2 9" xfId="283" xr:uid="{BDBBC567-B3A3-4C6D-987C-3B4982AC24E1}"/>
    <cellStyle name="60% - Accent6 2" xfId="50" xr:uid="{0DB8197B-0CFA-4E8B-81C4-5342DCDEA906}"/>
    <cellStyle name="60% - Accent6 2 10" xfId="284" xr:uid="{31611D6F-8DBF-4EA4-BF39-1001D53B6DD1}"/>
    <cellStyle name="60% - Accent6 2 2" xfId="285" xr:uid="{C21E9AE4-BCEB-4FA8-A86B-0638EB3A58F9}"/>
    <cellStyle name="60% - Accent6 2 3" xfId="286" xr:uid="{920F9B8B-39E1-4F50-9645-C24A1A5D964F}"/>
    <cellStyle name="60% - Accent6 2 4" xfId="287" xr:uid="{AD084F31-4A30-4AFF-B5B9-8587CB89AAE7}"/>
    <cellStyle name="60% - Accent6 2 5" xfId="288" xr:uid="{2041EA97-C75F-415F-9BAC-F4B192993CFC}"/>
    <cellStyle name="60% - Accent6 2 6" xfId="289" xr:uid="{B4352FFA-CC47-4DB4-AC26-EC1F2F46A3AA}"/>
    <cellStyle name="60% - Accent6 2 7" xfId="290" xr:uid="{A9526C7D-388E-4CF7-80CF-84AD63735AE5}"/>
    <cellStyle name="60% - Accent6 2 8" xfId="291" xr:uid="{4D48722A-1C87-44C9-9EB6-3D8763EF0552}"/>
    <cellStyle name="60% - Accent6 2 9" xfId="292" xr:uid="{652C7669-549F-4491-81BF-68404EF58355}"/>
    <cellStyle name="Accent" xfId="7" xr:uid="{00000000-0005-0000-0000-000000000000}"/>
    <cellStyle name="Accent 1" xfId="8" xr:uid="{00000000-0005-0000-0000-000001000000}"/>
    <cellStyle name="Accent 2" xfId="9" xr:uid="{00000000-0005-0000-0000-000002000000}"/>
    <cellStyle name="Accent 3" xfId="10" xr:uid="{00000000-0005-0000-0000-000003000000}"/>
    <cellStyle name="Accent1 2" xfId="51" xr:uid="{EA7E71E0-19B9-49EA-B52C-D26248F7C601}"/>
    <cellStyle name="Accent1 2 10" xfId="293" xr:uid="{09F85890-32B9-4481-9E67-A51B2AA4000E}"/>
    <cellStyle name="Accent1 2 2" xfId="294" xr:uid="{4D59EBA4-D320-4182-98A3-EA21F98B3A86}"/>
    <cellStyle name="Accent1 2 3" xfId="295" xr:uid="{91262C81-A3DE-4A27-928D-FE9E44849414}"/>
    <cellStyle name="Accent1 2 4" xfId="296" xr:uid="{15BDB20F-6D4C-4499-90EE-BF1EEAF1EEED}"/>
    <cellStyle name="Accent1 2 5" xfId="297" xr:uid="{B1DF86A1-550D-4C02-AD54-9ADE705E2648}"/>
    <cellStyle name="Accent1 2 6" xfId="298" xr:uid="{E6F72F44-804F-44D7-8D3E-ABE41B6CBB3B}"/>
    <cellStyle name="Accent1 2 7" xfId="299" xr:uid="{BB6C3024-588A-4E04-A809-B202E6733B3B}"/>
    <cellStyle name="Accent1 2 8" xfId="300" xr:uid="{3D2F1494-7B6E-4795-A385-03C3E4D6599A}"/>
    <cellStyle name="Accent1 2 9" xfId="301" xr:uid="{A36AD829-C7BA-4F90-B09D-620E1FA1EB91}"/>
    <cellStyle name="Accent2 2" xfId="52" xr:uid="{0B5BBBB6-BACD-49BF-B39A-88BC3D893968}"/>
    <cellStyle name="Accent2 2 10" xfId="302" xr:uid="{95F5BE45-7C77-4615-B225-195F871EA96F}"/>
    <cellStyle name="Accent2 2 2" xfId="303" xr:uid="{C1C061EB-08D0-4304-A9DD-146C10CBC3BE}"/>
    <cellStyle name="Accent2 2 3" xfId="304" xr:uid="{A5EAF934-68BF-4028-898D-0BCAEFEE6004}"/>
    <cellStyle name="Accent2 2 4" xfId="305" xr:uid="{609217DE-84CE-4A7D-BD4A-887A2D70971C}"/>
    <cellStyle name="Accent2 2 5" xfId="306" xr:uid="{EFAF806A-19AC-47F1-B9B7-0A9252886985}"/>
    <cellStyle name="Accent2 2 6" xfId="307" xr:uid="{9938DB4F-D6A1-4129-9AE1-2E8BF2275269}"/>
    <cellStyle name="Accent2 2 7" xfId="308" xr:uid="{8F182E83-456C-4291-A6E1-E554361073CD}"/>
    <cellStyle name="Accent2 2 8" xfId="309" xr:uid="{05EF569D-9386-42E5-9774-A1F7B67023A3}"/>
    <cellStyle name="Accent2 2 9" xfId="310" xr:uid="{926EEE02-F2DC-4951-8B3A-2C5172F0E987}"/>
    <cellStyle name="Accent3 2" xfId="53" xr:uid="{A49C0BAD-FF2C-4A50-B3F0-6DAA89BCB2B3}"/>
    <cellStyle name="Accent3 2 10" xfId="311" xr:uid="{60356D94-094F-49E4-95BE-DF904865D6D5}"/>
    <cellStyle name="Accent3 2 2" xfId="312" xr:uid="{757D90F4-D2AF-4A91-B2C5-CF62AD0D2DCF}"/>
    <cellStyle name="Accent3 2 3" xfId="313" xr:uid="{86975B1C-BC3C-41E6-931F-FE9F5BDC9A8B}"/>
    <cellStyle name="Accent3 2 4" xfId="314" xr:uid="{F10E86DE-AA08-479B-A0B8-403A86871583}"/>
    <cellStyle name="Accent3 2 5" xfId="315" xr:uid="{2940A13C-8DEF-40B8-8333-2369D720A200}"/>
    <cellStyle name="Accent3 2 6" xfId="316" xr:uid="{84A3814D-AD98-452D-B65E-C943D322E8FB}"/>
    <cellStyle name="Accent3 2 7" xfId="317" xr:uid="{C8FAA832-83F6-4019-B14F-04A5F8F42FF8}"/>
    <cellStyle name="Accent3 2 8" xfId="318" xr:uid="{245FAA91-A77C-4DEF-A9BE-84D99236B529}"/>
    <cellStyle name="Accent3 2 9" xfId="319" xr:uid="{53384B51-EF71-40D7-9D05-CA82EC97653F}"/>
    <cellStyle name="Accent4 2" xfId="54" xr:uid="{3B0A2990-1C9E-4F83-9E0D-08438C7540B6}"/>
    <cellStyle name="Accent4 2 10" xfId="320" xr:uid="{AF9E5C77-9809-4FAA-B667-CF44AFD45A1C}"/>
    <cellStyle name="Accent4 2 2" xfId="321" xr:uid="{F1C81B24-D2C8-4F5E-933E-E03ACF68352C}"/>
    <cellStyle name="Accent4 2 3" xfId="322" xr:uid="{E7CE8E5B-951E-4B31-A7F0-116F9E49E049}"/>
    <cellStyle name="Accent4 2 4" xfId="323" xr:uid="{E869A060-2813-4CA0-B421-ED33C4946193}"/>
    <cellStyle name="Accent4 2 5" xfId="324" xr:uid="{47EFC0D7-164A-4A8D-8647-ABFE8DD11EA8}"/>
    <cellStyle name="Accent4 2 6" xfId="325" xr:uid="{CE943002-A2A4-493A-9871-7CA43D746E7E}"/>
    <cellStyle name="Accent4 2 7" xfId="326" xr:uid="{5067E247-CF45-459D-A5AC-98ADA215106C}"/>
    <cellStyle name="Accent4 2 8" xfId="327" xr:uid="{F65298C8-35B4-4AF9-93AC-C712A514DAB2}"/>
    <cellStyle name="Accent4 2 9" xfId="328" xr:uid="{E2523026-24C7-42EB-A420-5AA67D17FA55}"/>
    <cellStyle name="Accent5 2" xfId="55" xr:uid="{4FBAECD6-D469-4BE9-A972-84684A13BF95}"/>
    <cellStyle name="Accent5 2 10" xfId="329" xr:uid="{B64EEFF7-4013-4EE4-85D6-EBBA3EDE7A27}"/>
    <cellStyle name="Accent5 2 2" xfId="330" xr:uid="{ACBE1A44-8A86-47B5-A7FF-8AED94D99386}"/>
    <cellStyle name="Accent5 2 3" xfId="331" xr:uid="{56CD6B63-E23B-464E-8BC9-6BD7F8B32B3B}"/>
    <cellStyle name="Accent5 2 4" xfId="332" xr:uid="{7E960F08-7D21-49E5-859F-2106892A2ED0}"/>
    <cellStyle name="Accent5 2 5" xfId="333" xr:uid="{E0322E9A-D6AB-47EE-929E-D2302D614D9E}"/>
    <cellStyle name="Accent5 2 6" xfId="334" xr:uid="{68695DB2-1B1C-453B-A993-296B07FD525A}"/>
    <cellStyle name="Accent5 2 7" xfId="335" xr:uid="{EFA90D30-4044-4D25-B5B3-65DD3149F5E7}"/>
    <cellStyle name="Accent5 2 8" xfId="336" xr:uid="{C57FE2B3-CF46-47CD-B53C-ECC619338788}"/>
    <cellStyle name="Accent5 2 9" xfId="337" xr:uid="{3BC94662-E105-4BB0-805F-DC7540BC5841}"/>
    <cellStyle name="Accent6 2" xfId="56" xr:uid="{964BDA2F-200A-4509-B858-A0D437D55080}"/>
    <cellStyle name="Accent6 2 10" xfId="338" xr:uid="{F443933E-8648-4678-89F6-4A618B462F0F}"/>
    <cellStyle name="Accent6 2 2" xfId="339" xr:uid="{43F9272F-7982-45C3-8266-CBFA3616AECA}"/>
    <cellStyle name="Accent6 2 3" xfId="340" xr:uid="{BAFB42E2-E02D-4764-A474-597465BA8CBC}"/>
    <cellStyle name="Accent6 2 4" xfId="341" xr:uid="{3E93B952-5E0F-41EE-871A-FE47F0F3D06B}"/>
    <cellStyle name="Accent6 2 5" xfId="342" xr:uid="{2C34FC76-7942-4115-ABB7-5F32822AC023}"/>
    <cellStyle name="Accent6 2 6" xfId="343" xr:uid="{9FE06823-15DB-4318-B45E-061E4C785636}"/>
    <cellStyle name="Accent6 2 7" xfId="344" xr:uid="{4EF66C84-FEFC-47C5-8155-A4FAC5305F2A}"/>
    <cellStyle name="Accent6 2 8" xfId="345" xr:uid="{76EB2114-4B7F-46F3-917E-B2BA00701B9C}"/>
    <cellStyle name="Accent6 2 9" xfId="346" xr:uid="{6CED7F3D-304A-4591-922F-06F50086473A}"/>
    <cellStyle name="Bad" xfId="1" xr:uid="{00000000-0005-0000-0000-000004000000}"/>
    <cellStyle name="Bad 2" xfId="22" xr:uid="{00000000-0005-0000-0000-000005000000}"/>
    <cellStyle name="Bad 2 10" xfId="347" xr:uid="{326F2F82-B543-4CFC-85A7-5A7799EE97DD}"/>
    <cellStyle name="Bad 2 11" xfId="57" xr:uid="{1E1518FD-53C7-4F03-A4AB-1D7A66B6A404}"/>
    <cellStyle name="Bad 2 2" xfId="348" xr:uid="{D0A00CC5-BAD6-4DD3-A21A-F6C8FC77DFC2}"/>
    <cellStyle name="Bad 2 3" xfId="349" xr:uid="{386F6A24-0D59-43D6-8440-8774E720234A}"/>
    <cellStyle name="Bad 2 4" xfId="350" xr:uid="{233D6715-CF69-47E4-9213-883FA678DE96}"/>
    <cellStyle name="Bad 2 5" xfId="351" xr:uid="{DB534E27-9C25-4581-A673-98F0AC4CCBB2}"/>
    <cellStyle name="Bad 2 6" xfId="352" xr:uid="{D8B099C9-AE36-4473-A702-9407328305C7}"/>
    <cellStyle name="Bad 2 7" xfId="353" xr:uid="{F0414A8D-513D-4907-AEA2-A6E18330642A}"/>
    <cellStyle name="Bad 2 8" xfId="354" xr:uid="{F07DC0A4-86A7-4B87-8FD6-4CA6F2CA1269}"/>
    <cellStyle name="Bad 2 9" xfId="355" xr:uid="{8D24696B-E20B-4FB7-8C64-F61DDFFF51EA}"/>
    <cellStyle name="Calculation 2" xfId="58" xr:uid="{93638E62-611E-49B5-BC70-9ED3BF91211F}"/>
    <cellStyle name="Calculation 2 10" xfId="356" xr:uid="{7B850885-894F-45DD-BFE2-D740736CBFD4}"/>
    <cellStyle name="Calculation 2 2" xfId="357" xr:uid="{EBBE593F-78C1-4754-8E47-3787D9DD5D70}"/>
    <cellStyle name="Calculation 2 3" xfId="358" xr:uid="{3D192465-AB6B-4423-92AA-0F858EAE2E57}"/>
    <cellStyle name="Calculation 2 4" xfId="359" xr:uid="{355608AC-B8FA-41B0-9A7D-7357AB2D33EA}"/>
    <cellStyle name="Calculation 2 5" xfId="360" xr:uid="{D320D53A-8473-4E7A-AEC7-AB3D43EC91A3}"/>
    <cellStyle name="Calculation 2 6" xfId="361" xr:uid="{714D5D76-A6B5-4CA7-96F5-9C91A27DEA55}"/>
    <cellStyle name="Calculation 2 7" xfId="362" xr:uid="{F0F1E155-9581-495E-B6E1-4C29135157B2}"/>
    <cellStyle name="Calculation 2 8" xfId="363" xr:uid="{29DC846A-7804-4182-B12B-5734E5809AC3}"/>
    <cellStyle name="Calculation 2 9" xfId="364" xr:uid="{FC0AD3DF-8B2C-4E84-BB9B-F17B3774EDCE}"/>
    <cellStyle name="Check Cell 2" xfId="59" xr:uid="{9D7A431F-4840-4703-9AD0-E738A6C5C773}"/>
    <cellStyle name="Check Cell 2 10" xfId="365" xr:uid="{3920FF6D-BDF5-4EC5-B019-C25AB3B12083}"/>
    <cellStyle name="Check Cell 2 2" xfId="366" xr:uid="{11CE7FA3-F375-4575-9E64-E831129BD220}"/>
    <cellStyle name="Check Cell 2 3" xfId="367" xr:uid="{B99B0B3D-CDD1-4335-A8C0-BEE5F3CFAC86}"/>
    <cellStyle name="Check Cell 2 4" xfId="368" xr:uid="{799FF609-A252-49C4-982B-03E42B287C45}"/>
    <cellStyle name="Check Cell 2 5" xfId="369" xr:uid="{C501A4DB-4609-4B1F-A12F-E003E36F3755}"/>
    <cellStyle name="Check Cell 2 6" xfId="370" xr:uid="{1C494BFD-05E6-4A56-AC8C-58C9FB172B1A}"/>
    <cellStyle name="Check Cell 2 7" xfId="371" xr:uid="{8A36FC76-BE3B-4436-8330-D0C084FDEE45}"/>
    <cellStyle name="Check Cell 2 8" xfId="372" xr:uid="{4E9D75E8-B706-4C33-8AE3-954F61440347}"/>
    <cellStyle name="Check Cell 2 9" xfId="373" xr:uid="{55C21F5F-45C4-4AFA-9E70-F6CBAD22957E}"/>
    <cellStyle name="Comma 2" xfId="60" xr:uid="{A5049CB3-04FC-43C6-8A1B-130CF07607AF}"/>
    <cellStyle name="Comma 3" xfId="81" xr:uid="{7F707AA3-F452-4456-8F4A-DACEBF096ADF}"/>
    <cellStyle name="Error" xfId="11" xr:uid="{00000000-0005-0000-0000-000008000000}"/>
    <cellStyle name="Explanatory Text 2" xfId="61" xr:uid="{5F6823EE-4318-4E34-91A9-B8DF8022252A}"/>
    <cellStyle name="Explanatory Text 2 10" xfId="374" xr:uid="{7C9945C4-B8D2-45B3-B691-1AE359CA8DB8}"/>
    <cellStyle name="Explanatory Text 2 2" xfId="375" xr:uid="{B529F095-EA0D-4213-BE5F-CC6C10A5975C}"/>
    <cellStyle name="Explanatory Text 2 3" xfId="376" xr:uid="{2699DE5D-DCCF-48F7-8663-F6F1684B50F1}"/>
    <cellStyle name="Explanatory Text 2 4" xfId="377" xr:uid="{7F761C99-BEC8-4AD0-9CDC-53EDC99FCDCC}"/>
    <cellStyle name="Explanatory Text 2 5" xfId="378" xr:uid="{BAB6E2A5-FFD8-4707-A16F-57E20020B6CE}"/>
    <cellStyle name="Explanatory Text 2 6" xfId="379" xr:uid="{42CF1FA3-F203-41FA-A375-6B001DBA80AC}"/>
    <cellStyle name="Explanatory Text 2 7" xfId="380" xr:uid="{140CE48E-B1DF-4983-A8E6-2DBB8FC8EF3E}"/>
    <cellStyle name="Explanatory Text 2 8" xfId="381" xr:uid="{2BD61A82-6E57-414A-B280-4AD98A51C085}"/>
    <cellStyle name="Explanatory Text 2 9" xfId="382" xr:uid="{0D26568D-8CD9-40F2-B719-8A456EFF69AD}"/>
    <cellStyle name="Footnote" xfId="12" xr:uid="{00000000-0005-0000-0000-000009000000}"/>
    <cellStyle name="Good" xfId="13" xr:uid="{00000000-0005-0000-0000-00000A000000}"/>
    <cellStyle name="Good 2" xfId="62" xr:uid="{D926E37E-80C9-4C17-A6CD-67490E73665C}"/>
    <cellStyle name="Good 2 10" xfId="383" xr:uid="{8F004B94-231E-457D-A470-12B5E6238A9B}"/>
    <cellStyle name="Good 2 2" xfId="384" xr:uid="{15885A29-1FA9-4B40-B5E1-B7A2E6761505}"/>
    <cellStyle name="Good 2 3" xfId="385" xr:uid="{FF836C3C-19FB-4F1E-985C-521262AC0DF3}"/>
    <cellStyle name="Good 2 4" xfId="386" xr:uid="{32045AE4-6552-4D56-A642-BF251B78C80B}"/>
    <cellStyle name="Good 2 5" xfId="387" xr:uid="{5C76A018-DA3E-4964-9E07-5712A09AD435}"/>
    <cellStyle name="Good 2 6" xfId="388" xr:uid="{1CACB01E-603A-4698-8344-D5ED662BBDFC}"/>
    <cellStyle name="Good 2 7" xfId="389" xr:uid="{E3A22389-097D-4C11-8EDC-14F36C4F26B5}"/>
    <cellStyle name="Good 2 8" xfId="390" xr:uid="{432E67C3-E364-4065-AFEC-A77BD96D18C3}"/>
    <cellStyle name="Good 2 9" xfId="391" xr:uid="{00D0777F-A9A9-423B-9A88-E84B94DC51FC}"/>
    <cellStyle name="Heading" xfId="14" xr:uid="{00000000-0005-0000-0000-00000B000000}"/>
    <cellStyle name="Heading 1" xfId="15" xr:uid="{00000000-0005-0000-0000-00000C000000}"/>
    <cellStyle name="Heading 1 2" xfId="63" xr:uid="{CF857026-E392-4BF4-BE41-30A9F68AFD2D}"/>
    <cellStyle name="Heading 1 2 10" xfId="392" xr:uid="{ACF977BC-C6B8-4929-8C27-DED21B228E35}"/>
    <cellStyle name="Heading 1 2 2" xfId="393" xr:uid="{90A87DA6-6175-4879-AF74-4DD053A91518}"/>
    <cellStyle name="Heading 1 2 3" xfId="394" xr:uid="{07B625A5-3F9A-4444-9E3D-B09F4CAA0D4A}"/>
    <cellStyle name="Heading 1 2 4" xfId="395" xr:uid="{217C41B1-E8BA-47C4-A0AE-E32226083B8F}"/>
    <cellStyle name="Heading 1 2 5" xfId="396" xr:uid="{F1A7D9BD-94B7-4A06-937F-23706F7428D8}"/>
    <cellStyle name="Heading 1 2 6" xfId="397" xr:uid="{7915E207-AB90-4820-B7BF-E1303B1588D5}"/>
    <cellStyle name="Heading 1 2 7" xfId="398" xr:uid="{97405243-CA68-4D30-8AD8-51B3978DA6C0}"/>
    <cellStyle name="Heading 1 2 8" xfId="399" xr:uid="{311791DD-83E9-4C57-95E5-14251E7671D9}"/>
    <cellStyle name="Heading 1 2 9" xfId="400" xr:uid="{5B28DBA5-39E9-43B3-85E5-884AD63964FA}"/>
    <cellStyle name="Heading 2" xfId="16" xr:uid="{00000000-0005-0000-0000-00000D000000}"/>
    <cellStyle name="Heading 2 2" xfId="64" xr:uid="{CD7212C1-B78B-4524-AA79-6355BAC26C77}"/>
    <cellStyle name="Heading 2 2 10" xfId="401" xr:uid="{D9E9E40C-FE78-4EB8-97AE-8098D9E6193D}"/>
    <cellStyle name="Heading 2 2 2" xfId="402" xr:uid="{02D68E84-9492-4C83-84E5-39DF530A2D86}"/>
    <cellStyle name="Heading 2 2 3" xfId="403" xr:uid="{03F79AFE-A3F4-4CD7-9BF4-E39E79713747}"/>
    <cellStyle name="Heading 2 2 4" xfId="404" xr:uid="{717F5267-B3E9-4444-9FDF-46ED7B5C0B52}"/>
    <cellStyle name="Heading 2 2 5" xfId="405" xr:uid="{6CEED912-7F9A-4592-A466-BF722526A153}"/>
    <cellStyle name="Heading 2 2 6" xfId="406" xr:uid="{1F11D87F-97AA-4601-9F3C-09C9928895B4}"/>
    <cellStyle name="Heading 2 2 7" xfId="407" xr:uid="{AD8E435E-178A-430E-B79C-C20DBA861968}"/>
    <cellStyle name="Heading 2 2 8" xfId="408" xr:uid="{8B9FF0EC-9F30-412A-BB38-264286CE5606}"/>
    <cellStyle name="Heading 2 2 9" xfId="409" xr:uid="{4DF00FE0-23A8-4893-9AAF-A68724F92997}"/>
    <cellStyle name="Heading 3 2" xfId="65" xr:uid="{6067A89C-59AB-480F-9777-60BA3D502B6E}"/>
    <cellStyle name="Heading 3 2 10" xfId="410" xr:uid="{8B427295-5AB0-4126-9032-4DC0EE489095}"/>
    <cellStyle name="Heading 3 2 2" xfId="411" xr:uid="{4C9C3455-4747-4B8B-8800-B759FB3F271F}"/>
    <cellStyle name="Heading 3 2 3" xfId="412" xr:uid="{BFB5E3F8-79DF-4017-B9B1-24EF8C0F8C50}"/>
    <cellStyle name="Heading 3 2 4" xfId="413" xr:uid="{DBB40BA8-859C-4241-822F-8CE6DC82D7F4}"/>
    <cellStyle name="Heading 3 2 5" xfId="414" xr:uid="{B54C9E9A-20DC-4A77-BE87-F903F330D504}"/>
    <cellStyle name="Heading 3 2 6" xfId="415" xr:uid="{81111B1D-A913-4A0E-B9D2-259BEB85C297}"/>
    <cellStyle name="Heading 3 2 7" xfId="416" xr:uid="{CD94FB5C-313E-4FD5-B37F-E202EB6BA345}"/>
    <cellStyle name="Heading 3 2 8" xfId="417" xr:uid="{0C2BFF03-EA15-4B52-9746-B59825370D60}"/>
    <cellStyle name="Heading 3 2 9" xfId="418" xr:uid="{82702208-98CF-4FDC-8DF1-55A4501F67C3}"/>
    <cellStyle name="Heading 4 2" xfId="66" xr:uid="{E095F1BC-F8D0-49A7-A648-EDD7850BD1A0}"/>
    <cellStyle name="Heading 4 2 10" xfId="419" xr:uid="{1954C6B5-3B99-4526-A0D1-E6A6837C7C39}"/>
    <cellStyle name="Heading 4 2 2" xfId="420" xr:uid="{253FF258-9CAD-4990-87C1-BC62EC1071D0}"/>
    <cellStyle name="Heading 4 2 3" xfId="421" xr:uid="{8F70818F-8001-4AC9-B564-321E054E19D0}"/>
    <cellStyle name="Heading 4 2 4" xfId="422" xr:uid="{9904AF3F-5415-4316-96EE-3C268A1CCC46}"/>
    <cellStyle name="Heading 4 2 5" xfId="423" xr:uid="{9331EF24-B054-4EC7-897D-CC3BD16474E5}"/>
    <cellStyle name="Heading 4 2 6" xfId="424" xr:uid="{060AF2BB-72E2-49FC-90D3-058FCC8CC524}"/>
    <cellStyle name="Heading 4 2 7" xfId="425" xr:uid="{097C69D7-7916-4422-8BF2-8592AC5A0EAA}"/>
    <cellStyle name="Heading 4 2 8" xfId="426" xr:uid="{B436B465-4940-4F2D-BFA2-BC0AC6D72F13}"/>
    <cellStyle name="Heading 4 2 9" xfId="427" xr:uid="{790AAF9B-2AE3-4DA7-872F-7F806962CD9D}"/>
    <cellStyle name="Input 2" xfId="67" xr:uid="{9BEF6AAA-772D-4B86-90A0-1149C61F0727}"/>
    <cellStyle name="Input 2 10" xfId="428" xr:uid="{13DC1E00-62C3-4705-8219-CBED0AF639AB}"/>
    <cellStyle name="Input 2 2" xfId="429" xr:uid="{7DEA8895-D389-440D-943D-29C90096A1E0}"/>
    <cellStyle name="Input 2 3" xfId="430" xr:uid="{F5D51147-28A2-4547-B2D6-D69496D5F7E8}"/>
    <cellStyle name="Input 2 4" xfId="431" xr:uid="{B5E80263-8530-4C31-8AD2-CC3C17F3A002}"/>
    <cellStyle name="Input 2 5" xfId="432" xr:uid="{A563B9EF-5DAA-4A60-8907-D4029CD7983E}"/>
    <cellStyle name="Input 2 6" xfId="433" xr:uid="{6853D857-807F-4D19-BB22-A9F1184A2A84}"/>
    <cellStyle name="Input 2 7" xfId="434" xr:uid="{D9F36AA1-1A97-4246-89F1-3C56B108602A}"/>
    <cellStyle name="Input 2 8" xfId="435" xr:uid="{801808C4-AFBF-49BE-A2AC-E45EBF000A8A}"/>
    <cellStyle name="Input 2 9" xfId="436" xr:uid="{B15C2EED-F6BC-482C-A1BF-C401E83272E0}"/>
    <cellStyle name="Linked Cell 2" xfId="68" xr:uid="{407735D8-8FF3-420F-9CBA-376611D5CCF0}"/>
    <cellStyle name="Linked Cell 2 10" xfId="437" xr:uid="{BAC21A30-C8F5-4FAA-9730-1C07B705460B}"/>
    <cellStyle name="Linked Cell 2 2" xfId="438" xr:uid="{6B0EC8C8-61B2-413C-84D5-E9F6C04E483A}"/>
    <cellStyle name="Linked Cell 2 3" xfId="439" xr:uid="{1402A66A-A2C8-4684-8F0E-2D960CCF3F27}"/>
    <cellStyle name="Linked Cell 2 4" xfId="440" xr:uid="{ECEAD613-FA40-47C5-B1DC-B83FA0319B3B}"/>
    <cellStyle name="Linked Cell 2 5" xfId="441" xr:uid="{544CC002-C24D-4751-8AB1-C7E2C114272D}"/>
    <cellStyle name="Linked Cell 2 6" xfId="442" xr:uid="{16B0DECB-7601-4823-B829-AB77A8E6A7F3}"/>
    <cellStyle name="Linked Cell 2 7" xfId="443" xr:uid="{D3E7A70D-5B48-4E15-AA89-261DC71D666F}"/>
    <cellStyle name="Linked Cell 2 8" xfId="444" xr:uid="{254E55C5-A12E-475A-96F9-5F56B4F0990D}"/>
    <cellStyle name="Linked Cell 2 9" xfId="445" xr:uid="{63CC5214-E245-4797-AF70-AFCC3F1C1FDF}"/>
    <cellStyle name="Milliers 2" xfId="5" xr:uid="{00000000-0005-0000-0000-00000E000000}"/>
    <cellStyle name="Milliers 2 2" xfId="26" xr:uid="{00000000-0005-0000-0000-00000F000000}"/>
    <cellStyle name="Milliers 3" xfId="20" xr:uid="{00000000-0005-0000-0000-000010000000}"/>
    <cellStyle name="Milliers 4" xfId="24" xr:uid="{00000000-0005-0000-0000-000011000000}"/>
    <cellStyle name="Moeda" xfId="4" builtinId="4"/>
    <cellStyle name="Monétaire 2" xfId="25" xr:uid="{00000000-0005-0000-0000-000012000000}"/>
    <cellStyle name="Monétaire 2 2" xfId="566" xr:uid="{8CBF759D-E2DF-4A4C-AFF4-711C99058409}"/>
    <cellStyle name="Monétaire 3" xfId="28" xr:uid="{00000000-0005-0000-0000-000013000000}"/>
    <cellStyle name="Monétaire 3 2" xfId="568" xr:uid="{FE4A71A0-A62C-44B1-A3D0-FC2CF6159B2A}"/>
    <cellStyle name="Monétaire 4" xfId="564" xr:uid="{48118E79-3EC9-42CE-B88D-BA26126EAB25}"/>
    <cellStyle name="Monétaire 5" xfId="577" xr:uid="{F2C2C44C-2C69-4ED1-B1DE-77DC794F1E63}"/>
    <cellStyle name="Neutral" xfId="17" xr:uid="{00000000-0005-0000-0000-000014000000}"/>
    <cellStyle name="Neutral 2" xfId="69" xr:uid="{301FCB5A-14C3-420C-8A5B-88C5FDAD3CD7}"/>
    <cellStyle name="Neutral 2 10" xfId="446" xr:uid="{56C34F1F-7D74-4361-99AE-94D89F6D5A08}"/>
    <cellStyle name="Neutral 2 2" xfId="447" xr:uid="{1DF0575B-4EDE-40C8-85BA-9C9E1CEACDA0}"/>
    <cellStyle name="Neutral 2 3" xfId="448" xr:uid="{B37190F5-0128-4285-B4E5-7EB120A62756}"/>
    <cellStyle name="Neutral 2 4" xfId="449" xr:uid="{6453186E-AC99-4086-859B-80D029CAEE0D}"/>
    <cellStyle name="Neutral 2 5" xfId="450" xr:uid="{CB64F242-05DF-4087-B477-F7136EB590FA}"/>
    <cellStyle name="Neutral 2 6" xfId="451" xr:uid="{742C3E8B-6864-44D1-B800-73C3A1E0E9FF}"/>
    <cellStyle name="Neutral 2 7" xfId="452" xr:uid="{35285B38-A111-47B6-A9A1-B34C8999C483}"/>
    <cellStyle name="Neutral 2 8" xfId="453" xr:uid="{AF1C306A-02F3-4326-9D22-8B45093519F4}"/>
    <cellStyle name="Neutral 2 9" xfId="454" xr:uid="{B157D7D3-3ED5-4103-AA66-1FED2BA2115A}"/>
    <cellStyle name="Normal" xfId="0" builtinId="0"/>
    <cellStyle name="Normal 10" xfId="455" xr:uid="{B740A4F2-912C-4F33-95EC-FE7F6CC482DB}"/>
    <cellStyle name="Normal 11" xfId="456" xr:uid="{89B62778-660B-43CF-9C41-B1D9A0D5610C}"/>
    <cellStyle name="Normal 12" xfId="31" xr:uid="{1010D9D8-DA6E-4F4D-8671-1FA0D4EC99D1}"/>
    <cellStyle name="Normal 12 2" xfId="570" xr:uid="{D6175BEB-2CF3-42F9-ACE5-4846CE57DC78}"/>
    <cellStyle name="Normal 13" xfId="559" xr:uid="{948BFDEB-B572-4E64-A541-5B2AEEF96831}"/>
    <cellStyle name="Normal 13 2" xfId="573" xr:uid="{95D1B131-03A8-4018-9C03-0D63FCEC4041}"/>
    <cellStyle name="Normal 14" xfId="560" xr:uid="{6AFDE039-3C69-4C16-8AD0-0650657DCB6B}"/>
    <cellStyle name="Normal 14 2" xfId="574" xr:uid="{ECAA6577-DBDD-4783-A094-0192CC3DF5FB}"/>
    <cellStyle name="Normal 15" xfId="562" xr:uid="{CADAAB98-8CFD-45DE-99CF-FBFCFD32DD6B}"/>
    <cellStyle name="Normal 16" xfId="561" xr:uid="{59D3005F-1076-40EC-8555-DE9DA1396D89}"/>
    <cellStyle name="Normal 17" xfId="575" xr:uid="{AD4972C4-3FFF-47E3-8793-7F2AEAB6AA81}"/>
    <cellStyle name="Normal 18" xfId="576" xr:uid="{FA6DB810-CCC3-4A2B-82E3-2DEE948CDAF0}"/>
    <cellStyle name="Normal 2" xfId="2" xr:uid="{00000000-0005-0000-0000-000016000000}"/>
    <cellStyle name="Normal 2 10" xfId="457" xr:uid="{8ABFFFEE-8AF7-4796-9901-AF80CA20F59A}"/>
    <cellStyle name="Normal 2 11" xfId="458" xr:uid="{A9AB8550-8FBE-4C2E-98BD-EF331C6A0C77}"/>
    <cellStyle name="Normal 2 12" xfId="459" xr:uid="{A919923D-3253-44E3-9723-BFE6088F65FF}"/>
    <cellStyle name="Normal 2 13" xfId="460" xr:uid="{DB1D80C1-905F-476C-96F3-1788E55048A2}"/>
    <cellStyle name="Normal 2 14" xfId="461" xr:uid="{F1CA5CE0-E1AE-49F4-9C64-BF43FAEE0E1C}"/>
    <cellStyle name="Normal 2 15" xfId="462" xr:uid="{9C618706-9FD7-4FD5-A7A9-6C4A5F56A191}"/>
    <cellStyle name="Normal 2 16" xfId="463" xr:uid="{9D22FB82-8739-4A5E-9137-345CA79DA4B0}"/>
    <cellStyle name="Normal 2 2" xfId="70" xr:uid="{5905B3F5-0ECC-4630-ACC9-8029462F0145}"/>
    <cellStyle name="Normal 2 2 2" xfId="464" xr:uid="{C4341806-D942-48EE-88B9-54DD288930CE}"/>
    <cellStyle name="Normal 2 2 2 2" xfId="465" xr:uid="{8A9C93C7-0376-42C6-88DE-0DF9848A695E}"/>
    <cellStyle name="Normal 2 2 2 3" xfId="466" xr:uid="{189F6FC3-8757-449D-9591-DE764B7162C3}"/>
    <cellStyle name="Normal 2 2 2 4" xfId="467" xr:uid="{81D78F11-F86D-42F0-87B0-312BBFB68947}"/>
    <cellStyle name="Normal 2 2 2 5" xfId="468" xr:uid="{53470EDE-9D86-4D0B-8486-A4FB5F387853}"/>
    <cellStyle name="Normal 2 2 2 6" xfId="469" xr:uid="{44F1ECD5-8849-4470-B497-FC6B2E2F8403}"/>
    <cellStyle name="Normal 2 2 3" xfId="470" xr:uid="{F63E33DC-8566-4AE4-AEDB-EFFF7C7EB5A1}"/>
    <cellStyle name="Normal 2 2 4" xfId="471" xr:uid="{159BC5F7-EFF0-4F40-8321-82C2AA45F6A8}"/>
    <cellStyle name="Normal 2 2 5" xfId="472" xr:uid="{09F92A49-53D4-4A35-BBEE-511888E56D2D}"/>
    <cellStyle name="Normal 2 2 6" xfId="473" xr:uid="{CDB6649B-FD7A-4231-97CE-B4E265D47A80}"/>
    <cellStyle name="Normal 2 2 7" xfId="474" xr:uid="{5F88987E-7F08-41AE-929E-6650E52A170A}"/>
    <cellStyle name="Normal 2 2 8" xfId="475" xr:uid="{46A0F203-AC1C-4538-83EA-8318EB344278}"/>
    <cellStyle name="Normal 2 2 9" xfId="476" xr:uid="{B34D690D-613E-49B5-B744-A089C6C14528}"/>
    <cellStyle name="Normal 2 3" xfId="71" xr:uid="{D1E52F5A-EF7C-4C92-B57F-CC249A3003A2}"/>
    <cellStyle name="Normal 2 4" xfId="72" xr:uid="{FB6047B5-D7E9-4CD2-8601-E8D89872E80B}"/>
    <cellStyle name="Normal 2 4 2" xfId="556" xr:uid="{89658EBC-9D2E-4864-81B3-2CADE4AEEE7C}"/>
    <cellStyle name="Normal 2 4 2 2" xfId="572" xr:uid="{1C84A065-D5D0-480A-AFD0-783F0EBD3AA2}"/>
    <cellStyle name="Normal 2 4 3" xfId="571" xr:uid="{FED3FA39-3406-4B77-97A7-E59DC08E6969}"/>
    <cellStyle name="Normal 2 4_CSP with No Packing Details" xfId="558" xr:uid="{4D59FD0F-6E58-4399-9EAD-145FF91E70E4}"/>
    <cellStyle name="Normal 2 5" xfId="477" xr:uid="{5A455224-BEB0-4A37-9D68-FEB453844444}"/>
    <cellStyle name="Normal 2 6" xfId="478" xr:uid="{F7A81BB5-FA9B-4F30-BA11-E2C68E0AC161}"/>
    <cellStyle name="Normal 2 7" xfId="479" xr:uid="{4C910A88-B277-4EB1-98FE-F99C2EB69168}"/>
    <cellStyle name="Normal 2 7 2" xfId="480" xr:uid="{DAA04EDC-EFA7-42B1-B595-29AFB1EED694}"/>
    <cellStyle name="Normal 2 7 3" xfId="481" xr:uid="{C1AB2E3B-FCCF-4D42-BB3E-0230C9BE66D7}"/>
    <cellStyle name="Normal 2 7 4" xfId="482" xr:uid="{097A8509-4A70-472A-BF28-A0289D6A580E}"/>
    <cellStyle name="Normal 2 7 5" xfId="483" xr:uid="{F9796816-91AB-4EE7-A2FE-0F43DAEC97E1}"/>
    <cellStyle name="Normal 2 7 6" xfId="484" xr:uid="{214A638B-741B-445C-958A-365D4F2420F2}"/>
    <cellStyle name="Normal 2 8" xfId="485" xr:uid="{D73259D2-DCF0-49AB-84D0-48A8B287CCDD}"/>
    <cellStyle name="Normal 2 9" xfId="486" xr:uid="{46EC3D94-BD05-4FBC-9E13-A3444392A084}"/>
    <cellStyle name="Normal 2_Filter" xfId="73" xr:uid="{917080F5-2974-4C5F-8A5F-FE32C66941AF}"/>
    <cellStyle name="Normal 3" xfId="3" xr:uid="{00000000-0005-0000-0000-000017000000}"/>
    <cellStyle name="Normal 3 2" xfId="23" xr:uid="{00000000-0005-0000-0000-000018000000}"/>
    <cellStyle name="Normal 3 2 2" xfId="32" xr:uid="{41AFBE13-6F44-4AF5-9BD2-78707D5EE2F3}"/>
    <cellStyle name="Normal 3 2 3" xfId="565" xr:uid="{E04C9BA4-F6EA-44F8-9BF0-6ADCF45ED0AB}"/>
    <cellStyle name="Normal 3 3" xfId="557" xr:uid="{965C793C-94E8-40A4-B016-22825BFB399B}"/>
    <cellStyle name="Normal 3 4" xfId="80" xr:uid="{3EBBE280-C74F-42DA-8750-589C33BAC171}"/>
    <cellStyle name="Normal 3 5" xfId="563" xr:uid="{E6B810A5-B613-4E77-A58B-FEC8E141B2EC}"/>
    <cellStyle name="Normal 3_CSP with No Packing Details" xfId="82" xr:uid="{5A4FEA10-C688-41C8-9084-8A5CDC826C59}"/>
    <cellStyle name="Normal 4" xfId="6" xr:uid="{00000000-0005-0000-0000-000019000000}"/>
    <cellStyle name="Normal 4 10" xfId="487" xr:uid="{227A6B9A-CBBB-4C68-A05B-404F466A93EB}"/>
    <cellStyle name="Normal 4 11" xfId="74" xr:uid="{3F809544-ADF5-47EB-81A7-4B215BA58F6E}"/>
    <cellStyle name="Normal 4 2" xfId="488" xr:uid="{F7AB8E4B-A45A-4C7F-8DA6-46A2BE3FC95E}"/>
    <cellStyle name="Normal 4 3" xfId="489" xr:uid="{CCDA2BB9-496E-427D-94FE-59EF2A125F4E}"/>
    <cellStyle name="Normal 4 4" xfId="490" xr:uid="{4A9A669B-DE77-4D15-954D-178C0EDEF8FD}"/>
    <cellStyle name="Normal 4 5" xfId="491" xr:uid="{EB29AC43-8B22-4716-8149-429D7C692603}"/>
    <cellStyle name="Normal 4 6" xfId="492" xr:uid="{B74C0EA9-A5D8-4A91-9BF3-25622DB6F7DC}"/>
    <cellStyle name="Normal 4 7" xfId="493" xr:uid="{EC5F8906-395A-4CD8-8DB6-591899C84BF4}"/>
    <cellStyle name="Normal 4 8" xfId="494" xr:uid="{F7DC7352-6CB4-47D9-87D7-4617F1E6B99C}"/>
    <cellStyle name="Normal 4 9" xfId="495" xr:uid="{FC2509F6-4319-440C-B240-11ABEC76C60B}"/>
    <cellStyle name="Normal 5" xfId="27" xr:uid="{00000000-0005-0000-0000-00001A000000}"/>
    <cellStyle name="Normal 5 2" xfId="497" xr:uid="{ECB4FB0B-5F4B-449B-A191-7DE4A0FE4FD3}"/>
    <cellStyle name="Normal 5 3" xfId="498" xr:uid="{2E5AEF30-6ABA-4297-A116-9D3132E54331}"/>
    <cellStyle name="Normal 5 4" xfId="499" xr:uid="{D21DF0E1-1AE7-4B54-A468-64476D66A331}"/>
    <cellStyle name="Normal 5 5" xfId="500" xr:uid="{81FFAFD8-1F23-48D8-8C1C-F33ED6A487E4}"/>
    <cellStyle name="Normal 5 6" xfId="501" xr:uid="{2D4F6B9A-68B7-46CE-8DEE-A76CE632B4E2}"/>
    <cellStyle name="Normal 5 7" xfId="496" xr:uid="{93E2106F-AB26-43D4-9A46-0F4E69A84283}"/>
    <cellStyle name="Normal 5 8" xfId="567" xr:uid="{C1BF1507-1A4D-434C-8A83-9CE23694D3DF}"/>
    <cellStyle name="Normal 6" xfId="29" xr:uid="{00000000-0005-0000-0000-00001B000000}"/>
    <cellStyle name="Normal 6 2" xfId="503" xr:uid="{723454AE-85FB-4E76-AC6B-30D3C7CBF63A}"/>
    <cellStyle name="Normal 6 3" xfId="504" xr:uid="{87AF40BA-F311-4F67-9443-78B8072EFA3A}"/>
    <cellStyle name="Normal 6 4" xfId="502" xr:uid="{83A70B61-B1E9-4E4D-8792-8FD2699F4AD4}"/>
    <cellStyle name="Normal 6 5" xfId="569" xr:uid="{8F4A4ADA-56F1-4FE2-AA9C-D47D87FE46A4}"/>
    <cellStyle name="Normal 7" xfId="30" xr:uid="{807C3021-EDB5-4647-8905-F0612D91AB03}"/>
    <cellStyle name="Normal 7 2" xfId="506" xr:uid="{6FFB8C27-0F0E-437C-B87E-6BC283DB73E6}"/>
    <cellStyle name="Normal 7 3" xfId="507" xr:uid="{EA4B6695-49FA-4F29-9E0B-F20F3FA192A1}"/>
    <cellStyle name="Normal 7 4" xfId="505" xr:uid="{49ACC186-4237-49CD-9314-ED63F5EDAD3D}"/>
    <cellStyle name="Normal 8" xfId="508" xr:uid="{D4121D33-D513-48B0-B374-B8ABC385E9AA}"/>
    <cellStyle name="Normal 9" xfId="509" xr:uid="{BF2A2BCA-61D5-4BDF-89B2-D3002D94E214}"/>
    <cellStyle name="Note 2" xfId="75" xr:uid="{746E76F1-CD3B-4BFB-A5FC-B976A65B5BB0}"/>
    <cellStyle name="Note 2 10" xfId="510" xr:uid="{DE6997E4-A4B1-445F-9205-359E2A82582C}"/>
    <cellStyle name="Note 2 2" xfId="511" xr:uid="{61CC1A77-05A9-4FE1-8BBA-B09F421C7D74}"/>
    <cellStyle name="Note 2 3" xfId="512" xr:uid="{6207351D-B0CD-4769-8B0D-A9EB4D1AAC48}"/>
    <cellStyle name="Note 2 4" xfId="513" xr:uid="{8281D91E-2BCA-4BCD-8786-B7372ECC9A7A}"/>
    <cellStyle name="Note 2 5" xfId="514" xr:uid="{9A201E6E-2858-4EDC-B707-181483E2AE90}"/>
    <cellStyle name="Note 2 6" xfId="515" xr:uid="{242017ED-A8B0-47CC-A234-BE8203357FFE}"/>
    <cellStyle name="Note 2 7" xfId="516" xr:uid="{C6B14C9C-0AC9-4A94-B140-E9AEE4A3DB09}"/>
    <cellStyle name="Note 2 8" xfId="517" xr:uid="{22FAA6D5-8C83-4281-AA00-DC3A8DF9F7B9}"/>
    <cellStyle name="Note 2 9" xfId="518" xr:uid="{767F1A1A-6E00-411E-8ACC-D541BA33D40C}"/>
    <cellStyle name="Output 2" xfId="76" xr:uid="{8189F77E-D23B-4C6D-9AD9-0C55DA922980}"/>
    <cellStyle name="Output 2 10" xfId="519" xr:uid="{393A419D-44E2-48A0-84BF-B51326507741}"/>
    <cellStyle name="Output 2 2" xfId="520" xr:uid="{C57086CC-74FC-4001-A706-464B4581C1AB}"/>
    <cellStyle name="Output 2 3" xfId="521" xr:uid="{37170156-DF12-43C5-8945-7E59E86589FE}"/>
    <cellStyle name="Output 2 4" xfId="522" xr:uid="{BC08F8FD-2C18-4D0C-B4D2-1A40A31BDCD7}"/>
    <cellStyle name="Output 2 5" xfId="523" xr:uid="{F62D092C-C52D-46A6-BA3F-E14F304077C7}"/>
    <cellStyle name="Output 2 6" xfId="524" xr:uid="{BD97099F-9B08-4F50-A493-99C47FA2170F}"/>
    <cellStyle name="Output 2 7" xfId="525" xr:uid="{68A1FB56-5C19-4DCA-9E84-2EA1B9C26D52}"/>
    <cellStyle name="Output 2 8" xfId="526" xr:uid="{9ED2E0D6-0AEC-4003-81E7-129D6114537A}"/>
    <cellStyle name="Output 2 9" xfId="527" xr:uid="{1295BC80-EC7F-43E5-BDDF-A6407E40855F}"/>
    <cellStyle name="Status" xfId="18" xr:uid="{00000000-0005-0000-0000-00001C000000}"/>
    <cellStyle name="Text" xfId="19" xr:uid="{00000000-0005-0000-0000-00001D000000}"/>
    <cellStyle name="Title 2" xfId="77" xr:uid="{11E840DA-FA8E-40CE-B1C7-6BCAEF5A1018}"/>
    <cellStyle name="Title 2 10" xfId="529" xr:uid="{3AAAF1FA-6E8A-4D2B-8604-4AAEB5BC13A7}"/>
    <cellStyle name="Title 2 2" xfId="530" xr:uid="{0A74CA00-5B6C-4B99-BED0-A5E3020EB5C9}"/>
    <cellStyle name="Title 2 3" xfId="531" xr:uid="{1F170750-F938-43E1-A57B-A4F5FA155D39}"/>
    <cellStyle name="Title 2 4" xfId="532" xr:uid="{FC72C7BA-46D8-421C-84E0-DA0ACDE61515}"/>
    <cellStyle name="Title 2 5" xfId="533" xr:uid="{9000D2BB-AE67-425A-92BF-16BD603E987E}"/>
    <cellStyle name="Title 2 6" xfId="534" xr:uid="{1C19B2FB-2AFD-4585-982C-3981F0C33B27}"/>
    <cellStyle name="Title 2 7" xfId="535" xr:uid="{AD950EC9-3C5C-48F4-9906-7744B3C7D133}"/>
    <cellStyle name="Title 2 8" xfId="536" xr:uid="{D86FF11D-F573-40FC-BA32-0F5C9D7321EB}"/>
    <cellStyle name="Title 2 9" xfId="537" xr:uid="{7B620E9C-1C4F-4694-B8EC-5CB68192E99B}"/>
    <cellStyle name="Title 2_CSP with No Packing Details" xfId="528" xr:uid="{F539AFE5-4FDF-49EF-8FAD-5DE624A912BE}"/>
    <cellStyle name="Total 2" xfId="78" xr:uid="{D1A7DAC4-9AD3-46FB-8B07-892843D996C9}"/>
    <cellStyle name="Total 2 10" xfId="538" xr:uid="{10F38A48-599E-4BBA-8009-83C342381C92}"/>
    <cellStyle name="Total 2 2" xfId="539" xr:uid="{00673959-DB6D-4CD3-89CF-205428453B07}"/>
    <cellStyle name="Total 2 3" xfId="540" xr:uid="{2DBD92D5-681A-4839-BFF8-7ED659FA6518}"/>
    <cellStyle name="Total 2 4" xfId="541" xr:uid="{ED2CDFB8-EA23-4434-9685-612A54AAA8B0}"/>
    <cellStyle name="Total 2 5" xfId="542" xr:uid="{FB636E99-BFF6-4622-AA1A-6E232F0DC549}"/>
    <cellStyle name="Total 2 6" xfId="543" xr:uid="{69A193DE-C4C5-458E-9324-930772C03726}"/>
    <cellStyle name="Total 2 7" xfId="544" xr:uid="{2EE97562-07F2-4EB1-973D-6460B5641BFE}"/>
    <cellStyle name="Total 2 8" xfId="545" xr:uid="{FBD3B7E4-4297-42C9-BD8A-D2FE9E584594}"/>
    <cellStyle name="Total 2 9" xfId="546" xr:uid="{89E78F6E-E44A-4D15-965D-88C348577106}"/>
    <cellStyle name="Warning" xfId="21" xr:uid="{00000000-0005-0000-0000-00001E000000}"/>
    <cellStyle name="Warning Text 2" xfId="79" xr:uid="{C385D64F-FE83-4795-88C5-58E6850B712B}"/>
    <cellStyle name="Warning Text 2 10" xfId="547" xr:uid="{0BEEBD19-48DB-49B2-B7A2-D59FA9E07740}"/>
    <cellStyle name="Warning Text 2 2" xfId="548" xr:uid="{14E3C1A2-C92A-4CE3-AEF2-BA693D473152}"/>
    <cellStyle name="Warning Text 2 3" xfId="549" xr:uid="{F8811EE5-9672-481F-97AD-6F16E18BBE91}"/>
    <cellStyle name="Warning Text 2 4" xfId="550" xr:uid="{C54B9034-C5BD-4B1D-8666-19889A6E6166}"/>
    <cellStyle name="Warning Text 2 5" xfId="551" xr:uid="{B6E69E1E-55DC-431F-8765-152533238FB7}"/>
    <cellStyle name="Warning Text 2 6" xfId="552" xr:uid="{C17BC8A4-8C85-42E8-AA3B-EB60054F88FD}"/>
    <cellStyle name="Warning Text 2 7" xfId="553" xr:uid="{D1FC6252-513F-4FF0-B819-8D53C6CD273B}"/>
    <cellStyle name="Warning Text 2 8" xfId="554" xr:uid="{FCF9BA4A-4C95-4660-93C6-20692D428612}"/>
    <cellStyle name="Warning Text 2 9" xfId="555" xr:uid="{823DE95A-EF6F-4442-B847-463B3675D24A}"/>
  </cellStyles>
  <dxfs count="11">
    <dxf>
      <font>
        <b/>
        <i val="0"/>
        <strike val="0"/>
        <condense val="0"/>
        <extend val="0"/>
        <outline val="0"/>
        <shadow val="0"/>
        <u val="none"/>
        <vertAlign val="baseline"/>
        <sz val="16"/>
        <color auto="1"/>
        <name val="Arial"/>
        <family val="2"/>
        <scheme val="none"/>
      </font>
      <numFmt numFmtId="171" formatCode="[$-F800]dddd\,\ mmmm\ dd\,\ 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3" defaultTableStyle="TableStyleMedium2" defaultPivotStyle="PivotStyleLight16">
    <tableStyle name="Style de tableau 1" pivot="0" count="0" xr9:uid="{4640A775-9156-43CF-A9F5-6A927AF5E125}"/>
    <tableStyle name="Style de tableau 2" pivot="0" count="0" xr9:uid="{323F53F0-EB69-488D-A40C-5699379DC40C}"/>
    <tableStyle name="Style de tableau 3" pivot="0" count="0" xr9:uid="{98C28186-B00C-4BD2-9307-C84B1272A229}"/>
  </tableStyles>
  <colors>
    <mruColors>
      <color rgb="FFFFCC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 1" id="{A2838B47-D041-4C69-904F-6AE26625AF6B}">
    <nsvFilter filterId="{F89D675D-BC1C-4FC7-A7E2-6FC7885E3AE9}" ref="A2:AY40" tableId="0">
      <sortRules>
        <sortRule colId="19">
          <sortCondition ref="T2:T40"/>
        </sortRule>
      </sortRules>
    </nsvFilter>
  </namedSheetView>
</namedSheetView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rovince%20de%20Salta" TargetMode="External"/><Relationship Id="rId13" Type="http://schemas.openxmlformats.org/officeDocument/2006/relationships/hyperlink" Target="https://www.bing.com/th?id=OSK.2e6b970facb396c6a6f7e5d99b8f1b87&amp;qlt=95" TargetMode="External"/><Relationship Id="rId18" Type="http://schemas.openxmlformats.org/officeDocument/2006/relationships/hyperlink" Target="https://www.bing.com/images/search?form=xlimg&amp;q=Turlock" TargetMode="External"/><Relationship Id="rId26" Type="http://schemas.openxmlformats.org/officeDocument/2006/relationships/hyperlink" Target="https://www.bing.com/images/search?form=xlimg&amp;q=Asuncion" TargetMode="External"/><Relationship Id="rId3" Type="http://schemas.openxmlformats.org/officeDocument/2006/relationships/hyperlink" Target="https://www.bing.com/th?id=OSK.a4d698a4fa091fd9de36ccb3c2a310c1&amp;qlt=95" TargetMode="External"/><Relationship Id="rId21" Type="http://schemas.openxmlformats.org/officeDocument/2006/relationships/hyperlink" Target="https://www.bing.com/th?id=OSK.8f1c3ea9d1407487ba1b7e139f130776&amp;qlt=95" TargetMode="External"/><Relationship Id="rId7" Type="http://schemas.openxmlformats.org/officeDocument/2006/relationships/hyperlink" Target="https://www.bing.com/th?id=OSK.206641ce63e88f86e83d9f4626eab3e9&amp;qlt=95" TargetMode="External"/><Relationship Id="rId12" Type="http://schemas.openxmlformats.org/officeDocument/2006/relationships/hyperlink" Target="https://www.bing.com/images/search?form=xlimg&amp;q=Odessa" TargetMode="External"/><Relationship Id="rId17" Type="http://schemas.openxmlformats.org/officeDocument/2006/relationships/hyperlink" Target="https://www.bing.com/th?id=OSK.c10ce1fcd20edc002a9ab8c9dafb49bd&amp;qlt=95" TargetMode="External"/><Relationship Id="rId25" Type="http://schemas.openxmlformats.org/officeDocument/2006/relationships/hyperlink" Target="https://www.bing.com/th?id=OSK.b79ec8f476a9f7b6588780c326415dd0&amp;qlt=95" TargetMode="External"/><Relationship Id="rId2" Type="http://schemas.openxmlformats.org/officeDocument/2006/relationships/hyperlink" Target="https://www.bing.com/images/search?form=xlimg&amp;q=Montr%c3%a9al" TargetMode="External"/><Relationship Id="rId16" Type="http://schemas.openxmlformats.org/officeDocument/2006/relationships/hyperlink" Target="https://www.bing.com/images/search?form=xlimg&amp;q=Izmir" TargetMode="External"/><Relationship Id="rId20" Type="http://schemas.openxmlformats.org/officeDocument/2006/relationships/hyperlink" Target="https://www.bing.com/images/search?form=xlimg&amp;q=Ripon%20(Royaume-Uni)" TargetMode="External"/><Relationship Id="rId29" Type="http://schemas.openxmlformats.org/officeDocument/2006/relationships/hyperlink" Target="https://www.bing.com/th?id=OSK.07fb7c582a628e4252b098ba88a7b0f5&amp;qlt=95" TargetMode="External"/><Relationship Id="rId1" Type="http://schemas.openxmlformats.org/officeDocument/2006/relationships/hyperlink" Target="https://www.bing.com/th?id=OSK.fa5f69a5cd4d4f6b3313809e9a325988&amp;qlt=95" TargetMode="External"/><Relationship Id="rId6" Type="http://schemas.openxmlformats.org/officeDocument/2006/relationships/hyperlink" Target="https://www.bing.com/images/search?form=xlimg&amp;q=Abidjan" TargetMode="External"/><Relationship Id="rId11" Type="http://schemas.openxmlformats.org/officeDocument/2006/relationships/hyperlink" Target="https://www.bing.com/th?id=OSK.csezTAwHTwMQN2vBJxPUVuiogVu82b2wLoHgVTGPNPU&amp;qlt=95" TargetMode="External"/><Relationship Id="rId24" Type="http://schemas.openxmlformats.org/officeDocument/2006/relationships/hyperlink" Target="https://www.bing.com/images/search?form=xlimg&amp;q=Davao" TargetMode="External"/><Relationship Id="rId32" Type="http://schemas.openxmlformats.org/officeDocument/2006/relationships/hyperlink" Target="https://www.bing.com/images/search?form=xlimg&amp;q=Valpara%c3%adso" TargetMode="External"/><Relationship Id="rId5" Type="http://schemas.openxmlformats.org/officeDocument/2006/relationships/hyperlink" Target="https://www.bing.com/th?id=OSK.3c3c529c6c578fab34a687f407df050d&amp;qlt=95" TargetMode="External"/><Relationship Id="rId15" Type="http://schemas.openxmlformats.org/officeDocument/2006/relationships/hyperlink" Target="https://www.bing.com/th?id=OSK.8839260ddc7b83b9d412393bf35b82c7&amp;qlt=95" TargetMode="External"/><Relationship Id="rId23" Type="http://schemas.openxmlformats.org/officeDocument/2006/relationships/hyperlink" Target="https://www.bing.com/th?id=OSK.cbdb7c87bcda695c49fb58052a262edb&amp;qlt=95" TargetMode="External"/><Relationship Id="rId28" Type="http://schemas.openxmlformats.org/officeDocument/2006/relationships/hyperlink" Target="https://www.bing.com/images/search?form=xlimg&amp;q=Surabaya" TargetMode="External"/><Relationship Id="rId10" Type="http://schemas.openxmlformats.org/officeDocument/2006/relationships/hyperlink" Target="https://www.bing.com/images/search?form=xlimg&amp;q=Qingdao" TargetMode="External"/><Relationship Id="rId19" Type="http://schemas.openxmlformats.org/officeDocument/2006/relationships/hyperlink" Target="https://www.bing.com/th?id=OSK.b8929f21788cd0564a207a5e13344246&amp;qlt=95" TargetMode="External"/><Relationship Id="rId31" Type="http://schemas.openxmlformats.org/officeDocument/2006/relationships/hyperlink" Target="https://www.bing.com/th?id=OSK.241c6cbcb6c5d06344cc4c3c7fb83ded&amp;qlt=95" TargetMode="External"/><Relationship Id="rId4" Type="http://schemas.openxmlformats.org/officeDocument/2006/relationships/hyperlink" Target="https://www.bing.com/images/search?form=xlimg&amp;q=H%c3%b4%20Chi%20Minh-Ville" TargetMode="External"/><Relationship Id="rId9" Type="http://schemas.openxmlformats.org/officeDocument/2006/relationships/hyperlink" Target="https://www.bing.com/th?id=OSK.7e4f3e3f601507213057f29807da4e24&amp;qlt=95" TargetMode="External"/><Relationship Id="rId14" Type="http://schemas.openxmlformats.org/officeDocument/2006/relationships/hyperlink" Target="https://www.bing.com/images/search?form=xlimg&amp;q=Khobi" TargetMode="External"/><Relationship Id="rId22" Type="http://schemas.openxmlformats.org/officeDocument/2006/relationships/hyperlink" Target="https://www.bing.com/images/search?form=xlimg&amp;q=Port%20Quetzal" TargetMode="External"/><Relationship Id="rId27" Type="http://schemas.openxmlformats.org/officeDocument/2006/relationships/hyperlink" Target="https://www.bing.com/th?id=OSK.7c19c58a2de9c3c1deb03cc8a3e433b5&amp;qlt=95" TargetMode="External"/><Relationship Id="rId30" Type="http://schemas.openxmlformats.org/officeDocument/2006/relationships/hyperlink" Target="https://www.bing.com/images/search?form=xlimg&amp;q=Bangkok"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Srd>
</file>

<file path=xl/richData/rdarray.xml><?xml version="1.0" encoding="utf-8"?>
<arrayData xmlns="http://schemas.microsoft.com/office/spreadsheetml/2017/richdata2" count="20">
  <a r="1">
    <v t="r">1</v>
  </a>
  <a r="1">
    <v t="s">Heure de l'Est</v>
  </a>
  <a r="1">
    <v t="s">Indochina Time</v>
  </a>
  <a r="1">
    <v t="r">22</v>
  </a>
  <a r="4">
    <v t="r">32</v>
    <v t="r">33</v>
    <v t="r">34</v>
    <v t="r">35</v>
  </a>
  <a r="1">
    <v t="s">America/Argentina/Salta</v>
  </a>
  <a r="4">
    <v t="r">46</v>
    <v t="r">47</v>
    <v t="r">48</v>
    <v t="r">49</v>
  </a>
  <a r="1">
    <v t="r">61</v>
  </a>
  <a r="1">
    <v t="s">Heure normale d'Europe de l'Est</v>
  </a>
  <a r="1">
    <v t="s">UTC+04:00</v>
  </a>
  <a r="1">
    <v t="r">84</v>
  </a>
  <a r="1">
    <v t="s">UTC+03:00</v>
  </a>
  <a r="1">
    <v t="r">97</v>
  </a>
  <a r="1">
    <v t="s">Heure du Pacifique</v>
  </a>
  <a r="1">
    <v t="r">127</v>
  </a>
  <a r="1">
    <v t="s">Paraguay Time Zone</v>
  </a>
  <a r="1">
    <v t="r">146</v>
  </a>
  <a r="1">
    <v t="s">UTC+07:00</v>
  </a>
  <a r="1">
    <v t="r">159</v>
  </a>
  <a r="1">
    <v t="r">168</v>
  </a>
</arrayData>
</file>

<file path=xl/richData/rdrichvalue.xml><?xml version="1.0" encoding="utf-8"?>
<rvData xmlns="http://schemas.microsoft.com/office/spreadsheetml/2017/richdata" count="179">
  <rv s="0">
    <v>536870912</v>
    <v>Montréal</v>
    <v>bf31f6ec-acd1-2e01-932b-c5c78c45d051</v>
    <v>fr-FR</v>
    <v>Map</v>
  </rv>
  <rv s="0">
    <v>805306368</v>
    <v>Valérie Plante (Maire)</v>
    <v>e63721dc-a633-6bba-7c34-e8c1efaae3fc</v>
    <v>fr-FR</v>
    <v>Generic</v>
  </rv>
  <rv s="1">
    <v>0</v>
  </rv>
  <rv s="1">
    <v>1</v>
  </rv>
  <rv s="2">
    <v>0</v>
    <v>7</v>
    <v>0</v>
    <v>7</v>
    <v>0</v>
    <v>Image of Montréal</v>
  </rv>
  <rv s="3">
    <fb>45.508888888888997</fb>
    <v>9</v>
  </rv>
  <rv s="4">
    <v>https://www.bing.com/search?q=Montr%c3%a9al&amp;form=skydnc</v>
    <v>Apprenez-en davantage avec Bing</v>
  </rv>
  <rv s="3">
    <fb>-73.561666666666994</fb>
    <v>9</v>
  </rv>
  <rv s="0">
    <v>536870912</v>
    <v>Canada</v>
    <v>370ed614-32e1-4326-a356-dc0a7dd56aaa</v>
    <v>fr-FR</v>
    <v>Map</v>
  </rv>
  <rv s="3">
    <fb>1800055</fb>
    <v>10</v>
  </rv>
  <rv s="3">
    <fb>498</fb>
    <v>10</v>
  </rv>
  <rv s="5">
    <v>#VALUE!</v>
    <v>fr-FR</v>
    <v>bf31f6ec-acd1-2e01-932b-c5c78c45d051</v>
    <v>536870912</v>
    <v>1</v>
    <v>1</v>
    <v>2</v>
    <v>3</v>
    <v>Montréal</v>
    <v>5</v>
    <v>6</v>
    <v>Map</v>
    <v>7</v>
    <v>8</v>
    <v>Montréal est la principale ville du Québec. Grande métropole insulaire et portuaire du fleuve Saint-Laurent, au pied des rapides de Lachine, c'est la deuxième ville la plus peuplée du Canada, après Toronto, et la plus grande ville francophone ...</v>
    <v>2</v>
    <v>3</v>
    <v>4</v>
    <v>5</v>
    <v>6</v>
    <v>7</v>
    <v>Montréal</v>
    <v>8</v>
    <v>9</v>
    <v>10</v>
    <v>Montréal</v>
    <v>mdp/vdpid/5293949126482853889</v>
  </rv>
  <rv s="0">
    <v>536870912</v>
    <v>Hô Chi Minh-Ville</v>
    <v>56b344bd-92d9-cb0b-00c2-5408a7bf99cf</v>
    <v>fr-FR</v>
    <v>Map</v>
  </rv>
  <rv s="0">
    <v>536870912</v>
    <v>1er arrondissement de Hô Chi Minh-Ville</v>
    <v>419b1ffd-d5b1-f4be-5509-d4fd0524ce62</v>
    <v>fr-FR</v>
    <v>Map</v>
  </rv>
  <rv s="1">
    <v>2</v>
  </rv>
  <rv s="2">
    <v>1</v>
    <v>7</v>
    <v>11</v>
    <v>7</v>
    <v>0</v>
    <v>Image of Hô Chi Minh-Ville</v>
  </rv>
  <rv s="4">
    <v>https://www.bing.com/search?q=H%c3%b4-Chi-Minh-Ville&amp;form=skydnc</v>
    <v>Apprenez-en davantage avec Bing</v>
  </rv>
  <rv s="0">
    <v>536870912</v>
    <v>Viêt Nam</v>
    <v>9eb3adfc-79da-211b-6de2-580a522f56a5</v>
    <v>fr-FR</v>
    <v>Map</v>
  </rv>
  <rv s="3">
    <fb>9456700</fb>
    <v>10</v>
  </rv>
  <rv s="3">
    <fb>2095.39</fb>
    <v>10</v>
  </rv>
  <rv s="6">
    <v>#VALUE!</v>
    <v>fr-FR</v>
    <v>56b344bd-92d9-cb0b-00c2-5408a7bf99cf</v>
    <v>536870912</v>
    <v>1</v>
    <v>13</v>
    <v>14</v>
    <v>15</v>
    <v>Hô Chi Minh-Ville</v>
    <v>5</v>
    <v>6</v>
    <v>Map</v>
    <v>7</v>
    <v>16</v>
    <v>VN-SG</v>
    <v>13</v>
    <v>Hô Chi Minh-Ville ou Hồ Chí Minh-Ville /o.tʃi.min.vil/ ou /o.ʃi.min.vil/, encore souvent appelée Saïgon /saj.gɔ̃/, qui fut le nom officiel jusqu'en 1975, est la plus grande ville du Viêt Nam et son poumon économique, devant la capitale Hanoï.</v>
    <v>14</v>
    <v>15</v>
    <v>16</v>
    <v>Hô Chi Minh-Ville</v>
    <v>17</v>
    <v>18</v>
    <v>19</v>
    <v>Hô Chi Minh-Ville</v>
    <v>mdp/vdpid/-7974924178</v>
  </rv>
  <rv s="0">
    <v>536870912</v>
    <v>Abidjan</v>
    <v>fa433474-0308-38c4-de72-2309d36ebf52</v>
    <v>fr-FR</v>
    <v>Map</v>
  </rv>
  <rv s="0">
    <v>805306368</v>
    <v>Robert Beugré Mambé (Gouverneur)</v>
    <v>7d8593e7-020a-871c-03ee-d236bf8b3a8a</v>
    <v>fr-CA</v>
    <v>Generic</v>
  </rv>
  <rv s="1">
    <v>3</v>
  </rv>
  <rv s="2">
    <v>2</v>
    <v>7</v>
    <v>17</v>
    <v>7</v>
    <v>0</v>
    <v>Image of Abidjan</v>
  </rv>
  <rv s="4">
    <v>https://www.bing.com/search?q=Abidjan&amp;form=skydnc</v>
    <v>Apprenez-en davantage avec Bing</v>
  </rv>
  <rv s="0">
    <v>536870912</v>
    <v>Côte d'Ivoire</v>
    <v>9beaacca-5861-af12-0c41-daf208b175a9</v>
    <v>fr-CA</v>
    <v>Map</v>
  </rv>
  <rv s="3">
    <fb>5616633</fb>
    <v>10</v>
  </rv>
  <rv s="3">
    <fb>2119</fb>
    <v>10</v>
  </rv>
  <rv s="7">
    <v>#VALUE!</v>
    <v>fr-FR</v>
    <v>fa433474-0308-38c4-de72-2309d36ebf52</v>
    <v>536870912</v>
    <v>1</v>
    <v>19</v>
    <v>20</v>
    <v>21</v>
    <v>Abidjan</v>
    <v>5</v>
    <v>6</v>
    <v>Map</v>
    <v>7</v>
    <v>22</v>
    <v>CI-AB</v>
    <v>Abidjan est la ville la plus peuplée de la Côte d'Ivoire. Elle était la capitale administrative et politique du pays jusqu'en 1983, date du transfert de jure de la capitale à Yamoussoukro. Elle est devenue, depuis 2001, un « district autonome » ...</v>
    <v>23</v>
    <v>24</v>
    <v>25</v>
    <v>Abidjan</v>
    <v>26</v>
    <v>27</v>
    <v>28</v>
    <v>Abidjan</v>
    <v>mdp/vdpid/5762498374150389761</v>
  </rv>
  <rv s="0">
    <v>536870912</v>
    <v>Province de Salta</v>
    <v>f6ae2fbd-0520-148c-3526-8bf23d36cb82</v>
    <v>fr-FR</v>
    <v>Map</v>
  </rv>
  <rv s="0">
    <v>536870912</v>
    <v>Salta</v>
    <v>723de47d-aad6-5cf7-fcd2-10645172e18f</v>
    <v>fr-FR</v>
    <v>Map</v>
  </rv>
  <rv s="0">
    <v>805306368</v>
    <v>Gustavo Sáenz (Gouverneur)</v>
    <v>6d16e13e-43fd-c654-ce24-f4f31f975d8b</v>
    <v>fr-FR</v>
    <v>Generic</v>
  </rv>
  <rv s="0">
    <v>805306368</v>
    <v>Nora Giménez (Sénat)</v>
    <v>b5666aa8-51e7-7ea2-b0a4-be5d58133659</v>
    <v>fr-FR</v>
    <v>Generic</v>
  </rv>
  <rv s="0">
    <v>805306368</v>
    <v>Sergio Leavy (Sénat)</v>
    <v>e4867e27-aa1a-1a21-96d8-882183b74ad7</v>
    <v>fr-FR</v>
    <v>Generic</v>
  </rv>
  <rv s="0">
    <v>805306368</v>
    <v>Juan Carlos Romero (Sénat)</v>
    <v>1feb63fb-4d2d-4363-aaef-94d64417aa39</v>
    <v>fr-FR</v>
    <v>Generic</v>
  </rv>
  <rv s="1">
    <v>4</v>
  </rv>
  <rv s="1">
    <v>5</v>
  </rv>
  <rv s="2">
    <v>3</v>
    <v>7</v>
    <v>23</v>
    <v>7</v>
    <v>0</v>
    <v>Image of Province de Salta</v>
  </rv>
  <rv s="4">
    <v>https://www.bing.com/search?q=Province+de+Salta&amp;form=skydnc</v>
    <v>Apprenez-en davantage avec Bing</v>
  </rv>
  <rv s="0">
    <v>536870912</v>
    <v>Argentine</v>
    <v>87153d87-9bb0-166a-3d56-613bdc274e1b</v>
    <v>fr-FR</v>
    <v>Map</v>
  </rv>
  <rv s="0">
    <v>536870912</v>
    <v>Tartagal</v>
    <v>7aa14c95-5366-ea0b-4289-3305de0952fd</v>
    <v>fr-FR</v>
    <v>Map</v>
  </rv>
  <rv s="3">
    <fb>1440672</fb>
    <v>10</v>
  </rv>
  <rv s="3">
    <fb>155488</fb>
    <v>10</v>
  </rv>
  <rv s="8">
    <v>#VALUE!</v>
    <v>fr-FR</v>
    <v>f6ae2fbd-0520-148c-3526-8bf23d36cb82</v>
    <v>536870912</v>
    <v>1</v>
    <v>25</v>
    <v>26</v>
    <v>27</v>
    <v>Province de Salta</v>
    <v>5</v>
    <v>6</v>
    <v>Map</v>
    <v>7</v>
    <v>8</v>
    <v>AR-A</v>
    <v>31</v>
    <v>La province de Salta est une province de l'Argentine, située à l'extrême nord-ouest du pays. Elle est limitée au nord par la province de Jujuy et par la Bolivie, à l'est par le Paraguay, Formosa et la province du Chaco, au sud par les provinces ...</v>
    <v>36</v>
    <v>37</v>
    <v>38</v>
    <v>39</v>
    <v>Province de Salta</v>
    <v>40</v>
    <v>41</v>
    <v>42</v>
    <v>43</v>
    <v>Province de Salta</v>
    <v>mdp/vdpid/29054</v>
  </rv>
  <rv s="0">
    <v>536870912</v>
    <v>Qingdao</v>
    <v>8858e540-9097-6118-53cd-2e935ffd3070</v>
    <v>fr-FR</v>
    <v>Map</v>
  </rv>
  <rv s="0">
    <v>805306368</v>
    <v>Lu Zhiyuan (Chinese Communist Party Committee Secretary)</v>
    <v>118f3123-5342-9142-78b2-b6a9a87aeb5d</v>
    <v>fr-CA</v>
    <v>Generic</v>
  </rv>
  <rv s="0">
    <v>805306368</v>
    <v>Wang Luming (Chairman)</v>
    <v>76dc95cf-8e38-2ec7-c3fb-6ebb58f731e2</v>
    <v>fr-CA</v>
    <v>Generic</v>
  </rv>
  <rv s="0">
    <v>805306368</v>
    <v>Zhao Haozhi (Maire)</v>
    <v>59dbc4f4-9609-abb8-3e7e-86f7de650248</v>
    <v>fr-CA</v>
    <v>Generic</v>
  </rv>
  <rv s="0">
    <v>805306368</v>
    <v>Yang Jun (Chairman)</v>
    <v>383f3e76-3ce0-d2e7-8622-2b3c25c7450d</v>
    <v>fr-CA</v>
    <v>Generic</v>
  </rv>
  <rv s="1">
    <v>6</v>
  </rv>
  <rv s="0">
    <v>536870912</v>
    <v>Shandong</v>
    <v>311c787d-5f0d-3960-4647-a0b3ee6bb863</v>
    <v>fr-CA</v>
    <v>Map</v>
  </rv>
  <rv s="2">
    <v>4</v>
    <v>7</v>
    <v>28</v>
    <v>7</v>
    <v>0</v>
    <v>Image of Qingdao</v>
  </rv>
  <rv s="3">
    <fb>36.116666666667001</fb>
    <v>9</v>
  </rv>
  <rv s="4">
    <v>https://www.bing.com/search?q=Qingdao&amp;form=skydnc</v>
    <v>Apprenez-en davantage avec Bing</v>
  </rv>
  <rv s="3">
    <fb>120.4</fb>
    <v>9</v>
  </rv>
  <rv s="0">
    <v>536870912</v>
    <v>Chine</v>
    <v>5fcc3d97-0cf2-94e5-6dad-cd70e387bd69</v>
    <v>fr-CA</v>
    <v>Map</v>
  </rv>
  <rv s="3">
    <fb>10071722</fb>
    <v>10</v>
  </rv>
  <rv s="3">
    <fb>11282</fb>
    <v>10</v>
  </rv>
  <rv s="9">
    <v>#VALUE!</v>
    <v>fr-FR</v>
    <v>8858e540-9097-6118-53cd-2e935ffd3070</v>
    <v>536870912</v>
    <v>1</v>
    <v>29</v>
    <v>30</v>
    <v>31</v>
    <v>Qingdao</v>
    <v>5</v>
    <v>6</v>
    <v>Map</v>
    <v>7</v>
    <v>32</v>
    <v>Qingdao, ou Tsingtao, est une ville de la province du Shandong en Chine. Elle a le statut de ville sous-provinciale. C'est aussi le nom d'une bière courante, la Tsingtao, brassée dans cette ville, et exportée dans le monde entier. On y parle le ...</v>
    <v>50</v>
    <v>51</v>
    <v>52</v>
    <v>53</v>
    <v>54</v>
    <v>55</v>
    <v>Qingdao</v>
    <v>56</v>
    <v>57</v>
    <v>58</v>
    <v>Qingdao</v>
    <v>mdp/vdpid/7826324477494427649</v>
  </rv>
  <rv s="0">
    <v>536870912</v>
    <v>Odessa</v>
    <v>2f3acb07-5be3-1daf-eb9e-dd8fd4e95e7e</v>
    <v>fr-FR</v>
    <v>Map</v>
  </rv>
  <rv s="0">
    <v>805306368</v>
    <v>Hennadiy Troukhanov (Maire)</v>
    <v>7866e490-0e44-8494-0ec7-737cbf196b12</v>
    <v>fr-FR</v>
    <v>Generic</v>
  </rv>
  <rv s="1">
    <v>7</v>
  </rv>
  <rv s="0">
    <v>536870912</v>
    <v>Oblast d'Odessa</v>
    <v>ab1bf172-10d2-6650-704b-07f524561e0c</v>
    <v>fr-FR</v>
    <v>Map</v>
  </rv>
  <rv s="1">
    <v>8</v>
  </rv>
  <rv s="2">
    <v>5</v>
    <v>7</v>
    <v>33</v>
    <v>7</v>
    <v>0</v>
    <v>Image of Odessa</v>
  </rv>
  <rv s="3">
    <fb>46.477469999999997</fb>
    <v>9</v>
  </rv>
  <rv s="4">
    <v>https://www.bing.com/search?q=Odessa&amp;form=skydnc</v>
    <v>Apprenez-en davantage avec Bing</v>
  </rv>
  <rv s="3">
    <fb>30.732620000000001</fb>
    <v>9</v>
  </rv>
  <rv s="0">
    <v>536870912</v>
    <v>Ukraine</v>
    <v>ad599477-9e6d-4a0e-bab5-0edf9db7115a</v>
    <v>fr-FR</v>
    <v>Map</v>
  </rv>
  <rv s="3">
    <fb>1010537</fb>
    <v>10</v>
  </rv>
  <rv s="3">
    <fb>236.9</fb>
    <v>10</v>
  </rv>
  <rv s="10">
    <v>#VALUE!</v>
    <v>fr-FR</v>
    <v>2f3acb07-5be3-1daf-eb9e-dd8fd4e95e7e</v>
    <v>536870912</v>
    <v>1</v>
    <v>34</v>
    <v>30</v>
    <v>35</v>
    <v>Odessa</v>
    <v>5</v>
    <v>6</v>
    <v>Map</v>
    <v>7</v>
    <v>8</v>
    <v>Odessa est une ville portuaire d'Ukraine, sur la mer Noire, et la capitale administrative de l'oblast d'Odessa. Sa population s'élevait à 1 000 000 d'habitants en 2024. Fondée par un oukase du 27 mai 1794 de Catherine II de Russie, la ville ...</v>
    <v>62</v>
    <v>63</v>
    <v>64</v>
    <v>65</v>
    <v>66</v>
    <v>67</v>
    <v>68</v>
    <v>Odessa</v>
    <v>69</v>
    <v>70</v>
    <v>71</v>
    <v>Odessa</v>
    <v>mdp/vdpid/7051787497918955522</v>
  </rv>
  <rv s="0">
    <v>536870912</v>
    <v>Khobi</v>
    <v>47a447f9-fb42-663b-ebfa-f2f330b148ae</v>
    <v>fr-FR</v>
    <v>Map</v>
  </rv>
  <rv s="0">
    <v>536870912</v>
    <v>Mingrélie-et-Haute-Svanétie</v>
    <v>4c57c2ff-4126-2927-dcb3-d13b075bcea2</v>
    <v>fr-CA</v>
    <v>Map</v>
  </rv>
  <rv s="1">
    <v>9</v>
  </rv>
  <rv s="2">
    <v>6</v>
    <v>7</v>
    <v>36</v>
    <v>7</v>
    <v>0</v>
    <v>Image of Khobi</v>
  </rv>
  <rv s="3">
    <fb>42.316666666666997</fb>
    <v>9</v>
  </rv>
  <rv s="4">
    <v>https://www.bing.com/search?q=Khobi&amp;form=skydnc</v>
    <v>Apprenez-en davantage avec Bing</v>
  </rv>
  <rv s="3">
    <fb>41.9</fb>
    <v>9</v>
  </rv>
  <rv s="0">
    <v>536870912</v>
    <v>Géorgie</v>
    <v>4fe7777a-3d26-0e6a-243d-ae6d45c843c6</v>
    <v>fr-CA</v>
    <v>Map</v>
  </rv>
  <rv s="3">
    <fb>3355</fb>
    <v>10</v>
  </rv>
  <rv s="11">
    <v>#VALUE!</v>
    <v>fr-FR</v>
    <v>47a447f9-fb42-663b-ebfa-f2f330b148ae</v>
    <v>536870912</v>
    <v>1</v>
    <v>37</v>
    <v>38</v>
    <v>39</v>
    <v>Khobi</v>
    <v>5</v>
    <v>6</v>
    <v>Map</v>
    <v>7</v>
    <v>40</v>
    <v>Khobi est une ville de l’ouest de la Géorgie avec une population de 4 242 habitants. La colonie de Khobi a acquis le statut de ville en 1981 et fonctionne actuellement comme un centre administratif du district de Khobi dans la région de ...</v>
    <v>74</v>
    <v>75</v>
    <v>76</v>
    <v>77</v>
    <v>78</v>
    <v>79</v>
    <v>Khobi</v>
    <v>80</v>
    <v>81</v>
    <v>Khobi</v>
    <v>mdp/vdpid/7253604817614929921</v>
  </rv>
  <rv s="0">
    <v>536870912</v>
    <v>Izmir</v>
    <v>808d6673-5c95-283b-976e-d13e84e2b82f</v>
    <v>fr-FR</v>
    <v>Map</v>
  </rv>
  <rv s="0">
    <v>805306368</v>
    <v>Tunç Soyer (Maire)</v>
    <v>89ab3018-00de-e618-ec07-b6a34d28d762</v>
    <v>fr-CA</v>
    <v>Generic</v>
  </rv>
  <rv s="1">
    <v>10</v>
  </rv>
  <rv s="0">
    <v>536870912</v>
    <v>İzmir</v>
    <v>e1b979ad-2537-f1c3-fa25-d697064ad3b5</v>
    <v>fr-CA</v>
    <v>Map</v>
  </rv>
  <rv s="1">
    <v>11</v>
  </rv>
  <rv s="2">
    <v>7</v>
    <v>7</v>
    <v>41</v>
    <v>7</v>
    <v>0</v>
    <v>Image of Izmir</v>
  </rv>
  <rv s="3">
    <fb>38.412730000000003</fb>
    <v>9</v>
  </rv>
  <rv s="4">
    <v>https://www.bing.com/search?q=Izmir&amp;form=skydnc</v>
    <v>Apprenez-en davantage avec Bing</v>
  </rv>
  <rv s="3">
    <fb>27.138380000000002</fb>
    <v>9</v>
  </rv>
  <rv s="0">
    <v>536870912</v>
    <v>Empire ottoman</v>
    <v>0c338db5-c8ae-34d9-8c36-b66fbb5a1277</v>
    <v>fr-CA</v>
    <v>Map</v>
  </rv>
  <rv s="3">
    <fb>4367251</fb>
    <v>10</v>
  </rv>
  <rv s="3">
    <fb>11891</fb>
    <v>10</v>
  </rv>
  <rv s="10">
    <v>#VALUE!</v>
    <v>fr-FR</v>
    <v>808d6673-5c95-283b-976e-d13e84e2b82f</v>
    <v>536870912</v>
    <v>1</v>
    <v>42</v>
    <v>30</v>
    <v>35</v>
    <v>Izmir</v>
    <v>5</v>
    <v>6</v>
    <v>Map</v>
    <v>7</v>
    <v>43</v>
    <v>Izmir, traditionnellement appelée Smyrne, est une ville de Turquie, située sur la mer Égée près du golfe d'Izmir. C'est le deuxième port du pays et la troisième agglomération turque par le nombre d’habitants. Ses habitants sont les Smyrniotes.</v>
    <v>85</v>
    <v>86</v>
    <v>87</v>
    <v>88</v>
    <v>89</v>
    <v>90</v>
    <v>91</v>
    <v>Izmir</v>
    <v>92</v>
    <v>93</v>
    <v>94</v>
    <v>Izmir</v>
    <v>mdp/vdpid/7247079589145477141</v>
  </rv>
  <rv s="0">
    <v>536870912</v>
    <v>Turlock</v>
    <v>937f82a6-7359-41cc-a0e9-f60f1f4bca4a</v>
    <v>fr-FR</v>
    <v>Map</v>
  </rv>
  <rv s="0">
    <v>805306368</v>
    <v>Amy Bublak (Maire)</v>
    <v>1ea8e86e-8a6e-3f3e-207a-7b72ec43682b</v>
    <v>fr-CA</v>
    <v>Generic</v>
  </rv>
  <rv s="1">
    <v>12</v>
  </rv>
  <rv s="0">
    <v>536870912</v>
    <v>Californie</v>
    <v>3009d91d-d582-4c34-85ba-772ba09e5be1</v>
    <v>fr-CA</v>
    <v>Map</v>
  </rv>
  <rv s="0">
    <v>536870912</v>
    <v>Comté de Stanislaus</v>
    <v>77661824-d9f2-91d5-6fd3-2a8f93c8b9d1</v>
    <v>fr-CA</v>
    <v>Map</v>
  </rv>
  <rv s="1">
    <v>13</v>
  </rv>
  <rv s="2">
    <v>8</v>
    <v>7</v>
    <v>44</v>
    <v>7</v>
    <v>0</v>
    <v>Image of Turlock</v>
  </rv>
  <rv s="3">
    <fb>37.505833333333001</fb>
    <v>9</v>
  </rv>
  <rv s="4">
    <v>https://www.bing.com/search?q=Turlock&amp;form=skydnc</v>
    <v>Apprenez-en davantage avec Bing</v>
  </rv>
  <rv s="3">
    <fb>-120.84888888889</fb>
    <v>9</v>
  </rv>
  <rv s="0">
    <v>536870912</v>
    <v>United States</v>
    <v>e3ef53f2-d302-b22a-64a7-6e0ce65be769</v>
    <v>fr-CA</v>
    <v>Map</v>
  </rv>
  <rv s="3">
    <fb>72740</fb>
    <v>10</v>
  </rv>
  <rv s="3">
    <fb>43.844298999999999</fb>
    <v>10</v>
  </rv>
  <rv s="12">
    <v>#VALUE!</v>
    <v>fr-FR</v>
    <v>937f82a6-7359-41cc-a0e9-f60f1f4bca4a</v>
    <v>536870912</v>
    <v>1</v>
    <v>45</v>
    <v>46</v>
    <v>47</v>
    <v>Turlock</v>
    <v>5</v>
    <v>6</v>
    <v>Map</v>
    <v>7</v>
    <v>32</v>
    <v>La ville de Turlock est située dans le comté de Stanislaus, dans l’État de Californie, aux États-Unis. Sa population s’élevait à 72 740 habitants lors du recensement de 2020.</v>
    <v>98</v>
    <v>99</v>
    <v>100</v>
    <v>101</v>
    <v>102</v>
    <v>103</v>
    <v>104</v>
    <v>105</v>
    <v>Turlock</v>
    <v>106</v>
    <v>107</v>
    <v>108</v>
    <v>Turlock</v>
    <v>mdp/vdpid/5058406143181717505</v>
  </rv>
  <rv s="0">
    <v>536870912</v>
    <v>Ripon</v>
    <v>9e285f2e-1dd0-a5f7-562d-6902d47b9fbc</v>
    <v>fr-FR</v>
    <v>Map</v>
  </rv>
  <rv s="2">
    <v>9</v>
    <v>7</v>
    <v>48</v>
    <v>7</v>
    <v>0</v>
    <v>Image of Ripon</v>
  </rv>
  <rv s="3">
    <fb>54.138055555556001</fb>
    <v>9</v>
  </rv>
  <rv s="4">
    <v>https://www.bing.com/search?q=Ripon+Royaume-Uni&amp;form=skydnc</v>
    <v>Apprenez-en davantage avec Bing</v>
  </rv>
  <rv s="3">
    <fb>-1.5236111111110999</fb>
    <v>9</v>
  </rv>
  <rv s="0">
    <v>536870912</v>
    <v>Angleterre</v>
    <v>280d39e8-7217-6863-6980-a8c20c211c89</v>
    <v>fr-CA</v>
    <v>Map</v>
  </rv>
  <rv s="3">
    <fb>16702</fb>
    <v>10</v>
  </rv>
  <rv s="13">
    <v>#VALUE!</v>
    <v>fr-FR</v>
    <v>9e285f2e-1dd0-a5f7-562d-6902d47b9fbc</v>
    <v>536870912</v>
    <v>1</v>
    <v>49</v>
    <v>50</v>
    <v>51</v>
    <v>Ripon</v>
    <v>5</v>
    <v>6</v>
    <v>Map</v>
    <v>7</v>
    <v>52</v>
    <v>Ripon est une ville d'Angleterre, dans le Yorkshire du Nord, qui possède le statut de Cité. Au moment du recensement de 2001, sa population était de 15 922 habitants. Sa proximité avec les sites du patrimoine mondial de l'abbaye de Fountains et ...</v>
    <v>111</v>
    <v>112</v>
    <v>113</v>
    <v>114</v>
    <v>Ripon</v>
    <v>115</v>
    <v>116</v>
    <v>Ripon</v>
    <v>mdp/vdpid/5470535940323672065</v>
  </rv>
  <rv s="0">
    <v>536870912</v>
    <v>Port Quetzal</v>
    <v>16d7e443-8276-0198-444e-2371718ecb77</v>
    <v>fr-FR</v>
    <v>Map</v>
  </rv>
  <rv s="0">
    <v>536870912</v>
    <v>Département d'Escuintla</v>
    <v>abd75e25-b2c9-90ca-4fac-de9b4c5a7cf0</v>
    <v>fr-CA</v>
    <v>Map</v>
  </rv>
  <rv s="2">
    <v>10</v>
    <v>7</v>
    <v>53</v>
    <v>7</v>
    <v>0</v>
    <v>Image of Port Quetzal</v>
  </rv>
  <rv s="3">
    <fb>13.92055556</fb>
    <v>9</v>
  </rv>
  <rv s="4">
    <v>https://www.bing.com/search?q=Port+Quetzal&amp;form=skydnc</v>
    <v>Apprenez-en davantage avec Bing</v>
  </rv>
  <rv s="3">
    <fb>-90.787777779999999</fb>
    <v>9</v>
  </rv>
  <rv s="0">
    <v>536870912</v>
    <v>Guatemala</v>
    <v>3d01de6a-8ed9-25cb-a652-cd408b2f3daf</v>
    <v>fr-CA</v>
    <v>Map</v>
  </rv>
  <rv s="14">
    <v>#VALUE!</v>
    <v>fr-FR</v>
    <v>16d7e443-8276-0198-444e-2371718ecb77</v>
    <v>536870912</v>
    <v>1</v>
    <v>54</v>
    <v>55</v>
    <v>56</v>
    <v>Port Quetzal</v>
    <v>5</v>
    <v>6</v>
    <v>Map</v>
    <v>7</v>
    <v>Le port Quetzal est le plus grand port du Guatemala dans l'océan Pacifique. Il est situé dans le département d'Escuintla à côté de la ville de Puerto San José qu'il a remplacé comme port important du pays au cours du 20ᵉ siècle. Il est important ...</v>
    <v>119</v>
    <v>120</v>
    <v>121</v>
    <v>122</v>
    <v>123</v>
    <v>Port Quetzal</v>
    <v>124</v>
    <v>Port Quetzal</v>
    <v>mdp/vdpid/5169722722116173825</v>
  </rv>
  <rv s="0">
    <v>536870912</v>
    <v>Davao</v>
    <v>af4fdc9a-9e43-2f0e-89d3-c28fa992273b</v>
    <v>fr-FR</v>
    <v>Map</v>
  </rv>
  <rv s="0">
    <v>805306368</v>
    <v>Sebastian Duterte (Maire)</v>
    <v>a4dc2f8f-595e-dabb-1934-0cdf00495860</v>
    <v>fr-CA</v>
    <v>Generic</v>
  </rv>
  <rv s="1">
    <v>14</v>
  </rv>
  <rv s="2">
    <v>11</v>
    <v>7</v>
    <v>57</v>
    <v>7</v>
    <v>0</v>
    <v>Image of Davao</v>
  </rv>
  <rv s="3">
    <fb>7.0666666666667002</fb>
    <v>9</v>
  </rv>
  <rv s="4">
    <v>https://www.bing.com/search?q=Davao&amp;form=skydnc</v>
    <v>Apprenez-en davantage avec Bing</v>
  </rv>
  <rv s="3">
    <fb>125.6</fb>
    <v>9</v>
  </rv>
  <rv s="0">
    <v>536870912</v>
    <v>Philippines</v>
    <v>fe47e182-43d6-4546-8bee-86609d6dd805</v>
    <v>fr-CA</v>
    <v>Map</v>
  </rv>
  <rv s="3">
    <fb>1776949</fb>
    <v>10</v>
  </rv>
  <rv s="3">
    <fb>2443.61</fb>
    <v>10</v>
  </rv>
  <rv s="15">
    <v>#VALUE!</v>
    <v>fr-FR</v>
    <v>af4fdc9a-9e43-2f0e-89d3-c28fa992273b</v>
    <v>536870912</v>
    <v>1</v>
    <v>58</v>
    <v>2</v>
    <v>59</v>
    <v>Davao</v>
    <v>5</v>
    <v>6</v>
    <v>Map</v>
    <v>7</v>
    <v>32</v>
    <v>Davao est l'une des principales villes des Philippines, capitale de la région de Davao, et capitale de facto de l'île de Mindanao. C'est aussi la plus grande ville des Philippines par sa superficie ; en 2011, Davao-City comprend une population ...</v>
    <v>128</v>
    <v>129</v>
    <v>130</v>
    <v>131</v>
    <v>132</v>
    <v>Davao</v>
    <v>133</v>
    <v>134</v>
    <v>135</v>
    <v>Davao</v>
    <v>mdp/vdpid/7918697611832328193</v>
  </rv>
  <rv s="0">
    <v>536870912</v>
    <v>Asuncion</v>
    <v>4b5ad817-2782-74b0-8e77-733cb22e48af</v>
    <v>fr-FR</v>
    <v>Map</v>
  </rv>
  <rv s="1">
    <v>15</v>
  </rv>
  <rv s="2">
    <v>12</v>
    <v>7</v>
    <v>60</v>
    <v>7</v>
    <v>0</v>
    <v>Image of Asuncion</v>
  </rv>
  <rv s="4">
    <v>https://www.bing.com/search?q=Asuncion&amp;form=skydnc</v>
    <v>Apprenez-en davantage avec Bing</v>
  </rv>
  <rv s="0">
    <v>536870912</v>
    <v>Paraguay</v>
    <v>38755944-7eb5-b816-af98-acd4bbf59209</v>
    <v>fr-CA</v>
    <v>Map</v>
  </rv>
  <rv s="3">
    <fb>462241</fb>
    <v>10</v>
  </rv>
  <rv s="3">
    <fb>117</fb>
    <v>10</v>
  </rv>
  <rv s="16">
    <v>#VALUE!</v>
    <v>fr-FR</v>
    <v>4b5ad817-2782-74b0-8e77-733cb22e48af</v>
    <v>536870912</v>
    <v>1</v>
    <v>62</v>
    <v>20</v>
    <v>63</v>
    <v>Asuncion</v>
    <v>5</v>
    <v>6</v>
    <v>Map</v>
    <v>7</v>
    <v>8</v>
    <v>PY-ASU</v>
    <v>Asuncion /a.sun̪.sjɔn̪/ ou Assomption /a.sɔ̃p.sjɔ̃/, connue également sous son nom complet Muy Noble y Leal Ciudad de Nuestra Señora Santa María de la Asunción, est la capitale et la ville la plus peuplée du Paraguay, constituée en une ...</v>
    <v>138</v>
    <v>139</v>
    <v>140</v>
    <v>Asuncion</v>
    <v>141</v>
    <v>142</v>
    <v>143</v>
    <v>Asuncion</v>
    <v>mdp/vdpid/6452484524172378113</v>
  </rv>
  <rv s="0">
    <v>536870912</v>
    <v>Surabaya</v>
    <v>39447d74-ad88-b8fe-9c7b-b46d0c188f4d</v>
    <v>fr-FR</v>
    <v>Map</v>
  </rv>
  <rv s="0">
    <v>805306368</v>
    <v>Eri Cahyadi (Maire)</v>
    <v>984e5cc5-3732-f9b4-b35b-df00116a8ace</v>
    <v>fr-CA</v>
    <v>Generic</v>
  </rv>
  <rv s="1">
    <v>16</v>
  </rv>
  <rv s="0">
    <v>536870912</v>
    <v>Java oriental</v>
    <v>f76a129e-0160-9c71-d6b5-fb788a91af78</v>
    <v>fr-CA</v>
    <v>Map</v>
  </rv>
  <rv s="1">
    <v>17</v>
  </rv>
  <rv s="2">
    <v>13</v>
    <v>7</v>
    <v>64</v>
    <v>7</v>
    <v>0</v>
    <v>Image of Surabaya</v>
  </rv>
  <rv s="3">
    <fb>-7.2458333333332998</fb>
    <v>9</v>
  </rv>
  <rv s="4">
    <v>https://www.bing.com/search?q=Surabaya&amp;form=skydnc</v>
    <v>Apprenez-en davantage avec Bing</v>
  </rv>
  <rv s="3">
    <fb>112.73777777778</fb>
    <v>9</v>
  </rv>
  <rv s="0">
    <v>536870912</v>
    <v>Indonésie</v>
    <v>b4a5bd62-2259-21e3-4627-bf249ae6ee84</v>
    <v>fr-CA</v>
    <v>Map</v>
  </rv>
  <rv s="3">
    <fb>3009286</fb>
    <v>10</v>
  </rv>
  <rv s="3">
    <fb>351</fb>
    <v>10</v>
  </rv>
  <rv s="10">
    <v>#VALUE!</v>
    <v>fr-FR</v>
    <v>39447d74-ad88-b8fe-9c7b-b46d0c188f4d</v>
    <v>536870912</v>
    <v>1</v>
    <v>65</v>
    <v>30</v>
    <v>35</v>
    <v>Surabaya</v>
    <v>5</v>
    <v>6</v>
    <v>Map</v>
    <v>7</v>
    <v>16</v>
    <v>Surabaya est une ville d'Indonésie. C'est la deuxième plus grande ville du pays avec une population de plus de 3,1 millions d'habitants. C'est la capitale de la province de Java oriental. Elle est située sur la côte nord de Java à l'embouchure ...</v>
    <v>147</v>
    <v>148</v>
    <v>149</v>
    <v>150</v>
    <v>151</v>
    <v>152</v>
    <v>153</v>
    <v>Surabaya</v>
    <v>154</v>
    <v>155</v>
    <v>156</v>
    <v>Surabaya</v>
    <v>mdp/vdpid/8687731978931273729</v>
  </rv>
  <rv s="0">
    <v>536870912</v>
    <v>Bangkok</v>
    <v>651e796f-a780-c032-4e9c-23e5f5fe5854</v>
    <v>fr-FR</v>
    <v>Map</v>
  </rv>
  <rv s="0">
    <v>805306368</v>
    <v>Chadchart Sittipunt (Gouverneur)</v>
    <v>9b3be4b3-dbc7-ce88-9c4a-e62414c3a14b</v>
    <v>fr-CA</v>
    <v>Generic</v>
  </rv>
  <rv s="1">
    <v>18</v>
  </rv>
  <rv s="2">
    <v>14</v>
    <v>7</v>
    <v>66</v>
    <v>7</v>
    <v>0</v>
    <v>Image of Bangkok</v>
  </rv>
  <rv s="4">
    <v>https://www.bing.com/search?q=Bangkok&amp;form=skydnc</v>
    <v>Apprenez-en davantage avec Bing</v>
  </rv>
  <rv s="0">
    <v>536870912</v>
    <v>Thaïlande</v>
    <v>588bd4b9-e440-b7eb-2cab-2a54c0458548</v>
    <v>fr-CA</v>
    <v>Map</v>
  </rv>
  <rv s="3">
    <fb>9034000</fb>
    <v>10</v>
  </rv>
  <rv s="3">
    <fb>1568.7370000000001</fb>
    <v>10</v>
  </rv>
  <rv s="17">
    <v>#VALUE!</v>
    <v>fr-FR</v>
    <v>651e796f-a780-c032-4e9c-23e5f5fe5854</v>
    <v>536870912</v>
    <v>1</v>
    <v>68</v>
    <v>20</v>
    <v>69</v>
    <v>Bangkok</v>
    <v>5</v>
    <v>6</v>
    <v>Map</v>
    <v>7</v>
    <v>22</v>
    <v>TH-10</v>
    <v>Bangkok est la capitale de la Thaïlande. La ville n'a pas le statut de province. La ville occupe une superficie de 1 569 km² dans le delta du fleuve Chao Phraya en Thaïlande centrale et son nombre d’habitants est supérieur à 9 millions, plus de ...</v>
    <v>160</v>
    <v>149</v>
    <v>161</v>
    <v>162</v>
    <v>Bangkok</v>
    <v>163</v>
    <v>164</v>
    <v>165</v>
    <v>Bangkok</v>
    <v>mdp/vdpid/7862880221702127623</v>
  </rv>
  <rv s="0">
    <v>536870912</v>
    <v>Valparaíso</v>
    <v>c2869c8b-fc0a-3507-056b-6be212ecb148</v>
    <v>fr-FR</v>
    <v>Map</v>
  </rv>
  <rv s="0">
    <v>805306368</v>
    <v>Jorge Sharp (Maire)</v>
    <v>e728d5c8-a6cd-3ae0-5253-693ec6065f4e</v>
    <v>fr-CA</v>
    <v>Generic</v>
  </rv>
  <rv s="1">
    <v>19</v>
  </rv>
  <rv s="0">
    <v>536870912</v>
    <v>Province de Valparaiso</v>
    <v>c4b3584c-0e4e-ea02-d6b2-2020c46f6599</v>
    <v>fr-CA</v>
    <v>Map</v>
  </rv>
  <rv s="2">
    <v>15</v>
    <v>7</v>
    <v>70</v>
    <v>7</v>
    <v>0</v>
    <v>Image of Valparaíso</v>
  </rv>
  <rv s="3">
    <fb>-33.046111111111102</fb>
    <v>9</v>
  </rv>
  <rv s="4">
    <v>https://www.bing.com/search?q=Valpara%c3%adso&amp;form=skydnc</v>
    <v>Apprenez-en davantage avec Bing</v>
  </rv>
  <rv s="3">
    <fb>-71.619722222222194</fb>
    <v>9</v>
  </rv>
  <rv s="0">
    <v>536870912</v>
    <v>Chili</v>
    <v>604665af-d1f4-5c64-9b93-1ef5f0471308</v>
    <v>fr-CA</v>
    <v>Map</v>
  </rv>
  <rv s="3">
    <fb>296655</fb>
    <v>10</v>
  </rv>
  <rv s="3">
    <fb>47.98</fb>
    <v>10</v>
  </rv>
  <rv s="9">
    <v>#VALUE!</v>
    <v>fr-FR</v>
    <v>c2869c8b-fc0a-3507-056b-6be212ecb148</v>
    <v>536870912</v>
    <v>1</v>
    <v>71</v>
    <v>30</v>
    <v>31</v>
    <v>Valparaíso</v>
    <v>5</v>
    <v>6</v>
    <v>Map</v>
    <v>7</v>
    <v>72</v>
    <v>Valparaíso, ou Valparaiso en français, est un port et une ville du Chili, capitale de la région et de la province. Elle est le premier port et la troisième ville du Chili. La ville forme avec les communes voisines la conurbation du Grand ...</v>
    <v>169</v>
    <v>170</v>
    <v>171</v>
    <v>172</v>
    <v>173</v>
    <v>174</v>
    <v>Valparaíso</v>
    <v>175</v>
    <v>176</v>
    <v>177</v>
    <v>Valparaíso</v>
    <v>mdp/vdpid/6430507561606184961</v>
  </rv>
</rvData>
</file>

<file path=xl/richData/rdrichvaluestructure.xml><?xml version="1.0" encoding="utf-8"?>
<rvStructures xmlns="http://schemas.microsoft.com/office/spreadsheetml/2017/richdata" count="18">
  <s t="_linkedentity2">
    <k n="%EntityServiceId" t="i"/>
    <k n="_DisplayString" t="s"/>
    <k n="%EntityId" t="s"/>
    <k n="%EntityCulture" t="s"/>
    <k n="_Icon" t="s"/>
  </s>
  <s t="_array">
    <k n="array" t="a"/>
  </s>
  <s t="_webimage">
    <k n="WebImageIdentifier" t="i"/>
    <k n="_Provider" t="spb"/>
    <k n="Attribution" t="spb"/>
    <k n="CalcOrigin" t="i"/>
    <k n="ComputedImage" t="b"/>
    <k n="Text" t="s"/>
  </s>
  <s t="_formattednumber">
    <k n="_Format" t="spb"/>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Fuseau(x) horaire(s)"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Fuseau(x) horaire(s)" t="r"/>
    <k n="Image" t="r"/>
    <k n="LearnMoreOnLink"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Description" t="s"/>
    <k n="Dirigeant(s)" t="r"/>
    <k n="Image" t="r"/>
    <k n="LearnMoreOnLink"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Dirigeant(s)" t="r"/>
    <k n="Fuseau(x) horaire(s)" t="r"/>
    <k n="Imag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Division administrative 1 (État/province/autre)"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Division administrative 1 (État/province/autre)" t="r"/>
    <k n="Fuseau(x) horaire(s)"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vision administrative 1 (État/province/autre)" t="r"/>
    <k n="Fuseau(x) horaire(s)" t="r"/>
    <k n="Image" t="r"/>
    <k n="Latitude" t="r"/>
    <k n="LearnMoreOnLink" t="r"/>
    <k n="Longitude" t="r"/>
    <k n="Nom" t="s"/>
    <k n="Pays/région" t="r"/>
    <k n="Populatio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Division administrative 1 (État/province/autre)" t="r"/>
    <k n="Division administrative 2 (comté/district/autre)" t="r"/>
    <k n="Fuseau(x) horaire(s)"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Image" t="r"/>
    <k n="Latitude" t="r"/>
    <k n="LearnMoreOnLink" t="r"/>
    <k n="Longitude" t="r"/>
    <k n="Nom" t="s"/>
    <k n="Pays/région" t="r"/>
    <k n="Populatio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Description" t="s"/>
    <k n="Division administrative 1 (État/province/autre)" t="r"/>
    <k n="Image" t="r"/>
    <k n="Latitude" t="r"/>
    <k n="LearnMoreOnLink" t="r"/>
    <k n="Longitude" t="r"/>
    <k n="Nom" t="s"/>
    <k n="Pays/régio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Dirigeant(s)" t="r"/>
    <k n="Image" t="r"/>
    <k n="Latitude" t="r"/>
    <k n="LearnMoreOnLink" t="r"/>
    <k n="Longitude"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Description" t="s"/>
    <k n="Fuseau(x) horaire(s)" t="r"/>
    <k n="Image" t="r"/>
    <k n="LearnMoreOnLink" t="r"/>
    <k n="Nom" t="s"/>
    <k n="Pays/région"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Description" t="s"/>
    <k n="Dirigeant(s)" t="r"/>
    <k n="Fuseau(x) horaire(s)" t="r"/>
    <k n="Image" t="r"/>
    <k n="LearnMoreOnLink" t="r"/>
    <k n="Nom" t="s"/>
    <k n="Pays/région" t="r"/>
    <k n="Population" t="r"/>
    <k n="Superficie" t="r"/>
    <k n="UniqueName" t="s"/>
    <k n="VDPID/VSID" t="s"/>
  </s>
</rvStructures>
</file>

<file path=xl/richData/rdsupportingpropertybag.xml><?xml version="1.0" encoding="utf-8"?>
<supportingPropertyBags xmlns="http://schemas.microsoft.com/office/spreadsheetml/2017/richdata2">
  <spbArrays count="13">
    <a count="26">
      <v t="s">%EntityServiceId</v>
      <v t="s">%IsRefreshable</v>
      <v t="s">_CanonicalPropertyNames</v>
      <v t="s">%EntityCulture</v>
      <v t="s">%EntityId</v>
      <v t="s">_Icon</v>
      <v t="s">_Provider</v>
      <v t="s">_Attribution</v>
      <v t="s">_Display</v>
      <v t="s">Nom</v>
      <v t="s">_Format</v>
      <v t="s">Pays/région</v>
      <v t="s">Dirigeant(s)</v>
      <v t="s">_SubLabel</v>
      <v t="s">Population</v>
      <v t="s">Superficie</v>
      <v t="s">Latitude</v>
      <v t="s">Longitude</v>
      <v t="s">Fuseau(x) horaire(s)</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Fuseau(x) horaire(s)</v>
      <v t="s">_Flags</v>
      <v t="s">VDPID/VSID</v>
      <v t="s">UniqueName</v>
      <v t="s">_DisplayString</v>
      <v t="s">LearnMoreOnLink</v>
      <v t="s">Image</v>
      <v t="s">Description</v>
    </a>
    <a count="24">
      <v t="s">%EntityServiceId</v>
      <v t="s">%IsRefreshable</v>
      <v t="s">_CanonicalPropertyNames</v>
      <v t="s">%EntityCulture</v>
      <v t="s">%EntityId</v>
      <v t="s">_Icon</v>
      <v t="s">_Provider</v>
      <v t="s">_Attribution</v>
      <v t="s">_Display</v>
      <v t="s">Nom</v>
      <v t="s">_Format</v>
      <v t="s">Dirigeant(s)</v>
      <v t="s">Pays/région</v>
      <v t="s">_SubLabel</v>
      <v t="s">Population</v>
      <v t="s">Superficie</v>
      <v t="s">Abréviation</v>
      <v t="s">_Flags</v>
      <v t="s">VDPID/VSID</v>
      <v t="s">UniqueName</v>
      <v t="s">_DisplayString</v>
      <v t="s">LearnMoreOnLink</v>
      <v t="s">Image</v>
      <v t="s">Description</v>
    </a>
    <a count="27">
      <v t="s">%EntityServiceId</v>
      <v t="s">%IsRefreshable</v>
      <v t="s">_CanonicalPropertyNames</v>
      <v t="s">%EntityCulture</v>
      <v t="s">%EntityId</v>
      <v t="s">_Icon</v>
      <v t="s">_Provider</v>
      <v t="s">_Attribution</v>
      <v t="s">_Display</v>
      <v t="s">Nom</v>
      <v t="s">_Format</v>
      <v t="s">Capitale/ville principale</v>
      <v t="s">Dirigeant(s)</v>
      <v t="s">Pays/région</v>
      <v t="s">_SubLabel</v>
      <v t="s">Population</v>
      <v t="s">Superficie</v>
      <v t="s">Abréviation</v>
      <v t="s">Plus grande ville</v>
      <v t="s">Fuseau(x) horaire(s)</v>
      <v t="s">_Flags</v>
      <v t="s">VDPID/VSID</v>
      <v t="s">UniqueName</v>
      <v t="s">_DisplayString</v>
      <v t="s">LearnMoreOnLink</v>
      <v t="s">Image</v>
      <v t="s">Description</v>
    </a>
    <a count="26">
      <v t="s">%EntityServiceId</v>
      <v t="s">%IsRefreshable</v>
      <v t="s">_CanonicalPropertyNames</v>
      <v t="s">%EntityCulture</v>
      <v t="s">%EntityId</v>
      <v t="s">_Icon</v>
      <v t="s">_Provider</v>
      <v t="s">_Attribution</v>
      <v t="s">_Display</v>
      <v t="s">Nom</v>
      <v t="s">_Format</v>
      <v t="s">Division administrative 1 (État/province/autre)</v>
      <v t="s">Pays/région</v>
      <v t="s">Dirigeant(s)</v>
      <v t="s">_SubLabel</v>
      <v t="s">Population</v>
      <v t="s">Superficie</v>
      <v t="s">Latitude</v>
      <v t="s">Longitude</v>
      <v t="s">_Flags</v>
      <v t="s">VDPID/VSID</v>
      <v t="s">UniqueName</v>
      <v t="s">_DisplayString</v>
      <v t="s">LearnMoreOnLink</v>
      <v t="s">Image</v>
      <v t="s">Description</v>
    </a>
    <a count="27">
      <v t="s">%EntityServiceId</v>
      <v t="s">%IsRefreshable</v>
      <v t="s">_CanonicalPropertyNames</v>
      <v t="s">%EntityCulture</v>
      <v t="s">%EntityId</v>
      <v t="s">_Icon</v>
      <v t="s">_Provider</v>
      <v t="s">_Attribution</v>
      <v t="s">_Display</v>
      <v t="s">Nom</v>
      <v t="s">_Format</v>
      <v t="s">Division administrative 1 (État/province/autre)</v>
      <v t="s">Pays/région</v>
      <v t="s">Dirigeant(s)</v>
      <v t="s">_SubLabel</v>
      <v t="s">Population</v>
      <v t="s">Superficie</v>
      <v t="s">Latitude</v>
      <v t="s">Longitude</v>
      <v t="s">Fuseau(x) horaire(s)</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Division administrative 1 (État/province/autre)</v>
      <v t="s">Pays/région</v>
      <v t="s">_SubLabel</v>
      <v t="s">Population</v>
      <v t="s">Latitude</v>
      <v t="s">Longitude</v>
      <v t="s">Fuseau(x) horaire(s)</v>
      <v t="s">_Flags</v>
      <v t="s">VDPID/VSID</v>
      <v t="s">UniqueName</v>
      <v t="s">_DisplayString</v>
      <v t="s">LearnMoreOnLink</v>
      <v t="s">Image</v>
      <v t="s">Description</v>
    </a>
    <a count="28">
      <v t="s">%EntityServiceId</v>
      <v t="s">%IsRefreshable</v>
      <v t="s">_CanonicalPropertyNames</v>
      <v t="s">%EntityCulture</v>
      <v t="s">%EntityId</v>
      <v t="s">_Icon</v>
      <v t="s">_Provider</v>
      <v t="s">_Attribution</v>
      <v t="s">_Display</v>
      <v t="s">Nom</v>
      <v t="s">_Format</v>
      <v t="s">Division administrative 2 (comté/district/autre)</v>
      <v t="s">Division administrative 1 (État/province/autre)</v>
      <v t="s">Pays/région</v>
      <v t="s">Dirigeant(s)</v>
      <v t="s">_SubLabel</v>
      <v t="s">Population</v>
      <v t="s">Superficie</v>
      <v t="s">Latitude</v>
      <v t="s">Longitude</v>
      <v t="s">Fuseau(x) horaire(s)</v>
      <v t="s">_Flags</v>
      <v t="s">VDPID/VSID</v>
      <v t="s">UniqueName</v>
      <v t="s">_DisplayString</v>
      <v t="s">LearnMoreOnLink</v>
      <v t="s">Image</v>
      <v t="s">Description</v>
    </a>
    <a count="23">
      <v t="s">%EntityServiceId</v>
      <v t="s">%IsRefreshable</v>
      <v t="s">_CanonicalPropertyNames</v>
      <v t="s">%EntityCulture</v>
      <v t="s">%EntityId</v>
      <v t="s">_Icon</v>
      <v t="s">_Provider</v>
      <v t="s">_Attribution</v>
      <v t="s">_Display</v>
      <v t="s">Nom</v>
      <v t="s">_Format</v>
      <v t="s">Pays/région</v>
      <v t="s">_SubLabel</v>
      <v t="s">Population</v>
      <v t="s">Latitude</v>
      <v t="s">Longitude</v>
      <v t="s">_Flags</v>
      <v t="s">VDPID/VSID</v>
      <v t="s">UniqueName</v>
      <v t="s">_DisplayString</v>
      <v t="s">LearnMoreOnLink</v>
      <v t="s">Image</v>
      <v t="s">Description</v>
    </a>
    <a count="22">
      <v t="s">%EntityServiceId</v>
      <v t="s">%IsRefreshable</v>
      <v t="s">_CanonicalPropertyNames</v>
      <v t="s">%EntityCulture</v>
      <v t="s">%EntityId</v>
      <v t="s">_Icon</v>
      <v t="s">_Provider</v>
      <v t="s">_Attribution</v>
      <v t="s">_Display</v>
      <v t="s">Nom</v>
      <v t="s">_Format</v>
      <v t="s">Division administrative 1 (État/province/autre)</v>
      <v t="s">Pays/région</v>
      <v t="s">Latitude</v>
      <v t="s">Longitude</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Pays/région</v>
      <v t="s">Dirigeant(s)</v>
      <v t="s">_SubLabel</v>
      <v t="s">Population</v>
      <v t="s">Superficie</v>
      <v t="s">Latitude</v>
      <v t="s">Longitude</v>
      <v t="s">_Flags</v>
      <v t="s">VDPID/VSID</v>
      <v t="s">UniqueName</v>
      <v t="s">_DisplayString</v>
      <v t="s">LearnMoreOnLink</v>
      <v t="s">Image</v>
      <v t="s">Description</v>
    </a>
    <a count="24">
      <v t="s">%EntityServiceId</v>
      <v t="s">%IsRefreshable</v>
      <v t="s">_CanonicalPropertyNames</v>
      <v t="s">%EntityCulture</v>
      <v t="s">%EntityId</v>
      <v t="s">_Icon</v>
      <v t="s">_Provider</v>
      <v t="s">_Attribution</v>
      <v t="s">_Display</v>
      <v t="s">Nom</v>
      <v t="s">_Format</v>
      <v t="s">Pays/région</v>
      <v t="s">_SubLabel</v>
      <v t="s">Population</v>
      <v t="s">Superficie</v>
      <v t="s">Abréviation</v>
      <v t="s">Fuseau(x) horaire(s)</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Dirigeant(s)</v>
      <v t="s">Pays/région</v>
      <v t="s">_SubLabel</v>
      <v t="s">Population</v>
      <v t="s">Superficie</v>
      <v t="s">Abréviation</v>
      <v t="s">Fuseau(x) horaire(s)</v>
      <v t="s">_Flags</v>
      <v t="s">VDPID/VSID</v>
      <v t="s">UniqueName</v>
      <v t="s">_DisplayString</v>
      <v t="s">LearnMoreOnLink</v>
      <v t="s">Image</v>
      <v t="s">Description</v>
    </a>
  </spbArrays>
  <spbData count="73">
    <spb s="0">
      <v xml:space="preserve">Wikipedia	</v>
      <v xml:space="preserve">CC BY-SA 3.0	</v>
      <v xml:space="preserve">https://fr.wikipedia.org/wiki/Montr%C3%A9al	</v>
      <v xml:space="preserve">https://creativecommons.org/licenses/by-sa/3.0	</v>
    </spb>
    <spb s="1">
      <v>0</v>
      <v>0</v>
      <v>0</v>
      <v>0</v>
      <v>0</v>
      <v>0</v>
      <v>0</v>
      <v>0</v>
    </spb>
    <spb s="2">
      <v>Name</v>
      <v>Image</v>
      <v>Latitude</v>
      <v>Longitude</v>
      <v>Population</v>
      <v>Area</v>
      <v>UniqueName</v>
      <v>VDPID/VSID</v>
      <v>Description</v>
      <v>Country/region</v>
      <v>LearnMoreOnLink</v>
    </spb>
    <spb s="3">
      <v>0</v>
      <v>Name</v>
      <v>LearnMoreOnLink</v>
    </spb>
    <spb s="4">
      <v>0</v>
      <v>0</v>
      <v>0</v>
    </spb>
    <spb s="5">
      <v>4</v>
      <v>4</v>
      <v>4</v>
    </spb>
    <spb s="6">
      <v>1</v>
      <v>2</v>
    </spb>
    <spb s="7">
      <v>https://www.bing.com</v>
      <v>https://www.bing.com/th?id=Ga%5Cbing_yt.png&amp;w=100&amp;h=40&amp;c=0&amp;pid=0.1</v>
      <v>Avec Bing</v>
    </spb>
    <spb s="8">
      <v>2022</v>
      <v>km carré</v>
    </spb>
    <spb s="9">
      <v>3</v>
    </spb>
    <spb s="9">
      <v>4</v>
    </spb>
    <spb s="0">
      <v xml:space="preserve">Wikipedia	</v>
      <v xml:space="preserve">CC BY-SA 3.0	</v>
      <v xml:space="preserve">https://fr.wikipedia.org/wiki/H%C3%B4_Chi_Minh-Ville	</v>
      <v xml:space="preserve">https://creativecommons.org/licenses/by-sa/3.0	</v>
    </spb>
    <spb s="0">
      <v xml:space="preserve">Wikipedia	</v>
      <v xml:space="preserve">CC-BY-SA	</v>
      <v xml:space="preserve">http://en.wikipedia.org/wiki/Ho_Chi_Minh_City	</v>
      <v xml:space="preserve">http://creativecommons.org/licenses/by-sa/3.0/	</v>
    </spb>
    <spb s="10">
      <v>11</v>
      <v>11</v>
      <v>11</v>
      <v>11</v>
      <v>12</v>
      <v>11</v>
      <v>11</v>
      <v>11</v>
    </spb>
    <spb s="11">
      <v>Name</v>
      <v>Image</v>
      <v>Population</v>
      <v>Area</v>
      <v>UniqueName</v>
      <v>VDPID/VSID</v>
      <v>Abbreviation</v>
      <v>Description</v>
      <v>Country/region</v>
      <v>LearnMoreOnLink</v>
      <v>Capital/Major City</v>
    </spb>
    <spb s="3">
      <v>1</v>
      <v>Name</v>
      <v>LearnMoreOnLink</v>
    </spb>
    <spb s="8">
      <v>2023</v>
      <v>km carré</v>
    </spb>
    <spb s="0">
      <v xml:space="preserve">Wikipedia	</v>
      <v xml:space="preserve">CC BY-SA 3.0	</v>
      <v xml:space="preserve">https://fr.wikipedia.org/wiki/Abidjan	</v>
      <v xml:space="preserve">https://creativecommons.org/licenses/by-sa/3.0	</v>
    </spb>
    <spb s="0">
      <v xml:space="preserve">Wikipedia	</v>
      <v xml:space="preserve">CC-BY-SA	</v>
      <v xml:space="preserve">http://en.wikipedia.org/wiki/Abidjan	</v>
      <v xml:space="preserve">http://creativecommons.org/licenses/by-sa/3.0/	</v>
    </spb>
    <spb s="12">
      <v>17</v>
      <v>17</v>
      <v>17</v>
      <v>17</v>
      <v>18</v>
      <v>17</v>
      <v>17</v>
    </spb>
    <spb s="13">
      <v>Name</v>
      <v>Image</v>
      <v>Population</v>
      <v>Area</v>
      <v>UniqueName</v>
      <v>VDPID/VSID</v>
      <v>Abbreviation</v>
      <v>Description</v>
      <v>Country/region</v>
      <v>LearnMoreOnLink</v>
    </spb>
    <spb s="3">
      <v>2</v>
      <v>Name</v>
      <v>LearnMoreOnLink</v>
    </spb>
    <spb s="8">
      <v>2021</v>
      <v>km carré</v>
    </spb>
    <spb s="0">
      <v xml:space="preserve">Wikipedia	</v>
      <v xml:space="preserve">CC BY-SA 3.0	</v>
      <v xml:space="preserve">https://fr.wikipedia.org/wiki/Province_de_Salta	</v>
      <v xml:space="preserve">https://creativecommons.org/licenses/by-sa/3.0	</v>
    </spb>
    <spb s="0">
      <v xml:space="preserve">Wikipedia	</v>
      <v xml:space="preserve">CC-BY-SA	</v>
      <v xml:space="preserve">http://en.wikipedia.org/wiki/Salta_Province	</v>
      <v xml:space="preserve">http://creativecommons.org/licenses/by-sa/3.0/	</v>
    </spb>
    <spb s="10">
      <v>23</v>
      <v>23</v>
      <v>23</v>
      <v>23</v>
      <v>24</v>
      <v>23</v>
      <v>23</v>
      <v>23</v>
    </spb>
    <spb s="14">
      <v>Name</v>
      <v>Image</v>
      <v>Population</v>
      <v>Area</v>
      <v>UniqueName</v>
      <v>VDPID/VSID</v>
      <v>Abbreviation</v>
      <v>Description</v>
      <v>Country/region</v>
      <v>LearnMoreOnLink</v>
      <v>Largest city</v>
      <v>Capital/Major City</v>
    </spb>
    <spb s="3">
      <v>3</v>
      <v>Name</v>
      <v>LearnMoreOnLink</v>
    </spb>
    <spb s="0">
      <v xml:space="preserve">Wikipedia	</v>
      <v xml:space="preserve">CC BY-SA 3.0	</v>
      <v xml:space="preserve">https://fr.wikipedia.org/wiki/Qingdao	</v>
      <v xml:space="preserve">https://creativecommons.org/licenses/by-sa/3.0	</v>
    </spb>
    <spb s="15">
      <v>28</v>
      <v>28</v>
      <v>28</v>
      <v>28</v>
      <v>28</v>
      <v>28</v>
      <v>28</v>
      <v>28</v>
      <v>28</v>
    </spb>
    <spb s="16">
      <v>Name</v>
      <v>Image</v>
      <v>Latitude</v>
      <v>Longitude</v>
      <v>Population</v>
      <v>Area</v>
      <v>UniqueName</v>
      <v>VDPID/VSID</v>
      <v>Description</v>
      <v>Country/region</v>
      <v>LearnMoreOnLink</v>
      <v>Admin Division 1 (State/province/other)</v>
    </spb>
    <spb s="3">
      <v>4</v>
      <v>Name</v>
      <v>LearnMoreOnLink</v>
    </spb>
    <spb s="8">
      <v>2020</v>
      <v>km carré</v>
    </spb>
    <spb s="0">
      <v xml:space="preserve">Wikipedia	</v>
      <v xml:space="preserve">CC BY-SA 3.0	</v>
      <v xml:space="preserve">https://fr.wikipedia.org/wiki/Odessa	</v>
      <v xml:space="preserve">https://creativecommons.org/licenses/by-sa/3.0	</v>
    </spb>
    <spb s="15">
      <v>33</v>
      <v>33</v>
      <v>33</v>
      <v>33</v>
      <v>33</v>
      <v>33</v>
      <v>33</v>
      <v>33</v>
      <v>33</v>
    </spb>
    <spb s="3">
      <v>5</v>
      <v>Name</v>
      <v>LearnMoreOnLink</v>
    </spb>
    <spb s="0">
      <v xml:space="preserve">Wikipedia	</v>
      <v xml:space="preserve">CC BY-SA 3.0	</v>
      <v xml:space="preserve">https://en.wikipedia.org/wiki/Khobi	</v>
      <v xml:space="preserve">https://creativecommons.org/licenses/by-sa/3.0	</v>
    </spb>
    <spb s="17">
      <v>36</v>
      <v>36</v>
      <v>36</v>
      <v>36</v>
      <v>36</v>
      <v>36</v>
      <v>36</v>
      <v>36</v>
    </spb>
    <spb s="18">
      <v>Name</v>
      <v>Image</v>
      <v>Latitude</v>
      <v>Longitude</v>
      <v>Population</v>
      <v>UniqueName</v>
      <v>VDPID/VSID</v>
      <v>Description</v>
      <v>Country/region</v>
      <v>LearnMoreOnLink</v>
      <v>Admin Division 1 (State/province/other)</v>
    </spb>
    <spb s="3">
      <v>6</v>
      <v>Name</v>
      <v>LearnMoreOnLink</v>
    </spb>
    <spb s="19">
      <v>2023</v>
    </spb>
    <spb s="0">
      <v xml:space="preserve">Wikipedia	</v>
      <v xml:space="preserve">CC BY-SA 3.0	</v>
      <v xml:space="preserve">https://fr.wikipedia.org/wiki/Izmir	</v>
      <v xml:space="preserve">https://creativecommons.org/licenses/by-sa/3.0	</v>
    </spb>
    <spb s="15">
      <v>41</v>
      <v>41</v>
      <v>41</v>
      <v>41</v>
      <v>41</v>
      <v>41</v>
      <v>41</v>
      <v>41</v>
      <v>41</v>
    </spb>
    <spb s="8">
      <v>2019</v>
      <v>km carré</v>
    </spb>
    <spb s="0">
      <v xml:space="preserve">Wikipedia	</v>
      <v xml:space="preserve">CC BY-SA 3.0	</v>
      <v xml:space="preserve">https://fr.wikipedia.org/wiki/Turlock	</v>
      <v xml:space="preserve">https://creativecommons.org/licenses/by-sa/3.0	</v>
    </spb>
    <spb s="20">
      <v>44</v>
      <v>44</v>
      <v>44</v>
      <v>44</v>
      <v>44</v>
      <v>44</v>
      <v>44</v>
      <v>44</v>
      <v>44</v>
      <v>44</v>
    </spb>
    <spb s="21">
      <v>Name</v>
      <v>Image</v>
      <v>Latitude</v>
      <v>Longitude</v>
      <v>Population</v>
      <v>Area</v>
      <v>UniqueName</v>
      <v>VDPID/VSID</v>
      <v>Description</v>
      <v>Country/region</v>
      <v>LearnMoreOnLink</v>
      <v>Admin Division 1 (State/province/other)</v>
      <v>Admin Division 2 (County/district/other)</v>
    </spb>
    <spb s="3">
      <v>7</v>
      <v>Name</v>
      <v>LearnMoreOnLink</v>
    </spb>
    <spb s="0">
      <v xml:space="preserve">Wikipedia	</v>
      <v xml:space="preserve">CC BY-SA 3.0	</v>
      <v xml:space="preserve">https://fr.wikipedia.org/wiki/Ripon_(Royaume-Uni)	</v>
      <v xml:space="preserve">https://creativecommons.org/licenses/by-sa/3.0	</v>
    </spb>
    <spb s="22">
      <v>48</v>
      <v>48</v>
      <v>48</v>
      <v>48</v>
      <v>48</v>
      <v>48</v>
      <v>48</v>
    </spb>
    <spb s="23">
      <v>Name</v>
      <v>Image</v>
      <v>Latitude</v>
      <v>Longitude</v>
      <v>Population</v>
      <v>UniqueName</v>
      <v>VDPID/VSID</v>
      <v>Description</v>
      <v>Country/region</v>
      <v>LearnMoreOnLink</v>
    </spb>
    <spb s="3">
      <v>8</v>
      <v>Name</v>
      <v>LearnMoreOnLink</v>
    </spb>
    <spb s="19">
      <v>2011</v>
    </spb>
    <spb s="0">
      <v xml:space="preserve">Wikipedia	</v>
      <v xml:space="preserve">CC BY-SA 3.0	</v>
      <v xml:space="preserve">https://fr.wikipedia.org/wiki/Port_Quetzal	</v>
      <v xml:space="preserve">https://creativecommons.org/licenses/by-sa/3.0	</v>
    </spb>
    <spb s="24">
      <v>53</v>
      <v>53</v>
      <v>53</v>
      <v>53</v>
      <v>53</v>
      <v>53</v>
      <v>53</v>
    </spb>
    <spb s="25">
      <v>Name</v>
      <v>Image</v>
      <v>Latitude</v>
      <v>Longitude</v>
      <v>UniqueName</v>
      <v>VDPID/VSID</v>
      <v>Description</v>
      <v>Country/region</v>
      <v>LearnMoreOnLink</v>
      <v>Admin Division 1 (State/province/other)</v>
    </spb>
    <spb s="3">
      <v>9</v>
      <v>Name</v>
      <v>LearnMoreOnLink</v>
    </spb>
    <spb s="0">
      <v xml:space="preserve">Wikipedia	</v>
      <v xml:space="preserve">CC BY-SA 3.0	</v>
      <v xml:space="preserve">https://fr.wikipedia.org/wiki/Davao	</v>
      <v xml:space="preserve">https://creativecommons.org/licenses/by-sa/3.0	</v>
    </spb>
    <spb s="1">
      <v>57</v>
      <v>57</v>
      <v>57</v>
      <v>57</v>
      <v>57</v>
      <v>57</v>
      <v>57</v>
      <v>57</v>
    </spb>
    <spb s="3">
      <v>10</v>
      <v>Name</v>
      <v>LearnMoreOnLink</v>
    </spb>
    <spb s="0">
      <v xml:space="preserve">Wikipedia	</v>
      <v xml:space="preserve">CC BY-SA 3.0	</v>
      <v xml:space="preserve">https://fr.wikipedia.org/wiki/Asuncion	</v>
      <v xml:space="preserve">https://creativecommons.org/licenses/by-sa/3.0	</v>
    </spb>
    <spb s="0">
      <v xml:space="preserve">Wikipedia	</v>
      <v xml:space="preserve">CC-BY-SA	</v>
      <v xml:space="preserve">http://en.wikipedia.org/wiki/Asunción	</v>
      <v xml:space="preserve">http://creativecommons.org/licenses/by-sa/3.0/	</v>
    </spb>
    <spb s="12">
      <v>60</v>
      <v>60</v>
      <v>60</v>
      <v>60</v>
      <v>61</v>
      <v>60</v>
      <v>60</v>
    </spb>
    <spb s="3">
      <v>11</v>
      <v>Name</v>
      <v>LearnMoreOnLink</v>
    </spb>
    <spb s="0">
      <v xml:space="preserve">Wikipedia	</v>
      <v xml:space="preserve">CC BY-SA 3.0	</v>
      <v xml:space="preserve">https://fr.wikipedia.org/wiki/Surabaya	</v>
      <v xml:space="preserve">https://creativecommons.org/licenses/by-sa/3.0	</v>
    </spb>
    <spb s="15">
      <v>64</v>
      <v>64</v>
      <v>64</v>
      <v>64</v>
      <v>64</v>
      <v>64</v>
      <v>64</v>
      <v>64</v>
      <v>64</v>
    </spb>
    <spb s="0">
      <v xml:space="preserve">Wikipedia	</v>
      <v xml:space="preserve">CC BY-SA 3.0	</v>
      <v xml:space="preserve">https://fr.wikipedia.org/wiki/Bangkok	</v>
      <v xml:space="preserve">https://creativecommons.org/licenses/by-sa/3.0	</v>
    </spb>
    <spb s="0">
      <v xml:space="preserve">Wikipedia	</v>
      <v xml:space="preserve">CC-BY-SA	</v>
      <v xml:space="preserve">http://en.wikipedia.org/wiki/Bangkok	</v>
      <v xml:space="preserve">http://creativecommons.org/licenses/by-sa/3.0/	</v>
    </spb>
    <spb s="12">
      <v>66</v>
      <v>66</v>
      <v>66</v>
      <v>66</v>
      <v>67</v>
      <v>66</v>
      <v>66</v>
    </spb>
    <spb s="3">
      <v>12</v>
      <v>Name</v>
      <v>LearnMoreOnLink</v>
    </spb>
    <spb s="0">
      <v xml:space="preserve">Wikipedia	</v>
      <v xml:space="preserve">CC BY-SA 3.0	</v>
      <v xml:space="preserve">https://fr.wikipedia.org/wiki/Valpara%C3%ADso	</v>
      <v xml:space="preserve">https://creativecommons.org/licenses/by-sa/3.0	</v>
    </spb>
    <spb s="15">
      <v>70</v>
      <v>70</v>
      <v>70</v>
      <v>70</v>
      <v>70</v>
      <v>70</v>
      <v>70</v>
      <v>70</v>
      <v>70</v>
    </spb>
    <spb s="8">
      <v>2017</v>
      <v>km carré</v>
    </spb>
  </spbData>
</supportingPropertyBags>
</file>

<file path=xl/richData/rdsupportingpropertybagstructure.xml><?xml version="1.0" encoding="utf-8"?>
<spbStructures xmlns="http://schemas.microsoft.com/office/spreadsheetml/2017/richdata2" count="26">
  <s>
    <k n="SourceText" t="s"/>
    <k n="LicenseText" t="s"/>
    <k n="SourceAddress" t="s"/>
    <k n="LicenseAddress" t="s"/>
  </s>
  <s>
    <k n="Nom" t="spb"/>
    <k n="Latitude" t="spb"/>
    <k n="Longitude" t="spb"/>
    <k n="Population" t="spb"/>
    <k n="Superficie" t="spb"/>
    <k n="UniqueName" t="spb"/>
    <k n="Description" t="spb"/>
    <k n="Pays/région" t="spb"/>
  </s>
  <s>
    <k n="Nom" t="s"/>
    <k n="Image" t="s"/>
    <k n="Latitude" t="s"/>
    <k n="Longitude" t="s"/>
    <k n="Population" t="s"/>
    <k n="Superficie" t="s"/>
    <k n="UniqueName" t="s"/>
    <k n="VDPID/VSID" t="s"/>
    <k n="Description" t="s"/>
    <k n="Pays/région" t="s"/>
    <k n="LearnMoreOnLink" t="s"/>
  </s>
  <s>
    <k n="^Order" t="spba"/>
    <k n="TitleProperty" t="s"/>
    <k n="SubTitleProperty" t="s"/>
  </s>
  <s>
    <k n="ShowInCardView" t="b"/>
    <k n="ShowInDotNotation" t="b"/>
    <k n="ShowInAutoComplete" t="b"/>
  </s>
  <s>
    <k n="UniqueName" t="spb"/>
    <k n="VDPID/VSID" t="spb"/>
    <k n="LearnMoreOnLink" t="spb"/>
  </s>
  <s>
    <k n="Nom" t="i"/>
    <k n="Image" t="i"/>
  </s>
  <s>
    <k n="link" t="s"/>
    <k n="logo" t="s"/>
    <k n="name" t="s"/>
  </s>
  <s>
    <k n="Population" t="s"/>
    <k n="Superficie" t="s"/>
  </s>
  <s>
    <k n="_Self" t="i"/>
  </s>
  <s>
    <k n="Nom" t="spb"/>
    <k n="Population" t="spb"/>
    <k n="Superficie" t="spb"/>
    <k n="UniqueName" t="spb"/>
    <k n="Abréviation" t="spb"/>
    <k n="Description" t="spb"/>
    <k n="Pays/région" t="spb"/>
    <k n="Capitale/ville principale" t="spb"/>
  </s>
  <s>
    <k n="Nom" t="s"/>
    <k n="Image" t="s"/>
    <k n="Population" t="s"/>
    <k n="Superficie" t="s"/>
    <k n="UniqueName" t="s"/>
    <k n="VDPID/VSID" t="s"/>
    <k n="Abréviation" t="s"/>
    <k n="Description" t="s"/>
    <k n="Pays/région" t="s"/>
    <k n="LearnMoreOnLink" t="s"/>
    <k n="Capitale/ville principale" t="s"/>
  </s>
  <s>
    <k n="Nom" t="spb"/>
    <k n="Population" t="spb"/>
    <k n="Superficie" t="spb"/>
    <k n="UniqueName" t="spb"/>
    <k n="Abréviation" t="spb"/>
    <k n="Description" t="spb"/>
    <k n="Pays/région" t="spb"/>
  </s>
  <s>
    <k n="Nom" t="s"/>
    <k n="Image" t="s"/>
    <k n="Population" t="s"/>
    <k n="Superficie" t="s"/>
    <k n="UniqueName" t="s"/>
    <k n="VDPID/VSID" t="s"/>
    <k n="Abréviation" t="s"/>
    <k n="Description" t="s"/>
    <k n="Pays/région" t="s"/>
    <k n="LearnMoreOnLink" t="s"/>
  </s>
  <s>
    <k n="Nom" t="s"/>
    <k n="Image" t="s"/>
    <k n="Population" t="s"/>
    <k n="Superficie" t="s"/>
    <k n="UniqueName" t="s"/>
    <k n="VDPID/VSID" t="s"/>
    <k n="Abréviation" t="s"/>
    <k n="Description" t="s"/>
    <k n="Pays/région" t="s"/>
    <k n="LearnMoreOnLink" t="s"/>
    <k n="Plus grande ville" t="s"/>
    <k n="Capitale/ville principale" t="s"/>
  </s>
  <s>
    <k n="Nom" t="spb"/>
    <k n="Latitude" t="spb"/>
    <k n="Longitude" t="spb"/>
    <k n="Population" t="spb"/>
    <k n="Superficie" t="spb"/>
    <k n="UniqueName" t="spb"/>
    <k n="Description" t="spb"/>
    <k n="Pays/région" t="spb"/>
    <k n="Division administrative 1 (État/province/autre)" t="spb"/>
  </s>
  <s>
    <k n="Nom" t="s"/>
    <k n="Image" t="s"/>
    <k n="Latitude" t="s"/>
    <k n="Longitude" t="s"/>
    <k n="Population" t="s"/>
    <k n="Superficie" t="s"/>
    <k n="UniqueName" t="s"/>
    <k n="VDPID/VSID" t="s"/>
    <k n="Description" t="s"/>
    <k n="Pays/région" t="s"/>
    <k n="LearnMoreOnLink" t="s"/>
    <k n="Division administrative 1 (État/province/autre)" t="s"/>
  </s>
  <s>
    <k n="Nom" t="spb"/>
    <k n="Latitude" t="spb"/>
    <k n="Longitude" t="spb"/>
    <k n="Population" t="spb"/>
    <k n="UniqueName" t="spb"/>
    <k n="Description" t="spb"/>
    <k n="Pays/région" t="spb"/>
    <k n="Division administrative 1 (État/province/autre)" t="spb"/>
  </s>
  <s>
    <k n="Nom" t="s"/>
    <k n="Image" t="s"/>
    <k n="Latitude" t="s"/>
    <k n="Longitude" t="s"/>
    <k n="Population" t="s"/>
    <k n="UniqueName" t="s"/>
    <k n="VDPID/VSID" t="s"/>
    <k n="Description" t="s"/>
    <k n="Pays/région" t="s"/>
    <k n="LearnMoreOnLink" t="s"/>
    <k n="Division administrative 1 (État/province/autre)" t="s"/>
  </s>
  <s>
    <k n="Population" t="s"/>
  </s>
  <s>
    <k n="Nom" t="spb"/>
    <k n="Latitude" t="spb"/>
    <k n="Longitude" t="spb"/>
    <k n="Population" t="spb"/>
    <k n="Superficie" t="spb"/>
    <k n="UniqueName" t="spb"/>
    <k n="Description" t="spb"/>
    <k n="Pays/région" t="spb"/>
    <k n="Division administrative 1 (État/province/autre)" t="spb"/>
    <k n="Division administrative 2 (comté/district/autre)" t="spb"/>
  </s>
  <s>
    <k n="Nom" t="s"/>
    <k n="Image" t="s"/>
    <k n="Latitude" t="s"/>
    <k n="Longitude" t="s"/>
    <k n="Population" t="s"/>
    <k n="Superficie" t="s"/>
    <k n="UniqueName" t="s"/>
    <k n="VDPID/VSID" t="s"/>
    <k n="Description" t="s"/>
    <k n="Pays/région" t="s"/>
    <k n="LearnMoreOnLink" t="s"/>
    <k n="Division administrative 1 (État/province/autre)" t="s"/>
    <k n="Division administrative 2 (comté/district/autre)" t="s"/>
  </s>
  <s>
    <k n="Nom" t="spb"/>
    <k n="Latitude" t="spb"/>
    <k n="Longitude" t="spb"/>
    <k n="Population" t="spb"/>
    <k n="UniqueName" t="spb"/>
    <k n="Description" t="spb"/>
    <k n="Pays/région" t="spb"/>
  </s>
  <s>
    <k n="Nom" t="s"/>
    <k n="Image" t="s"/>
    <k n="Latitude" t="s"/>
    <k n="Longitude" t="s"/>
    <k n="Population" t="s"/>
    <k n="UniqueName" t="s"/>
    <k n="VDPID/VSID" t="s"/>
    <k n="Description" t="s"/>
    <k n="Pays/région" t="s"/>
    <k n="LearnMoreOnLink" t="s"/>
  </s>
  <s>
    <k n="Nom" t="spb"/>
    <k n="Latitude" t="spb"/>
    <k n="Longitude" t="spb"/>
    <k n="UniqueName" t="spb"/>
    <k n="Description" t="spb"/>
    <k n="Pays/région" t="spb"/>
    <k n="Division administrative 1 (État/province/autre)" t="spb"/>
  </s>
  <s>
    <k n="Nom" t="s"/>
    <k n="Image" t="s"/>
    <k n="Latitude" t="s"/>
    <k n="Longitude" t="s"/>
    <k n="UniqueName" t="s"/>
    <k n="VDPID/VSID" t="s"/>
    <k n="Description" t="s"/>
    <k n="Pays/région" t="s"/>
    <k n="LearnMoreOnLink" t="s"/>
    <k n="Division administrative 1 (État/province/autr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1">
      <rpv i="2">0.0000</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55BA8-38A7-4D3B-AA0C-5970370BBB28}" name="Tableau22" displayName="Tableau22" ref="T50:Y61" totalsRowShown="0" headerRowDxfId="10" dataDxfId="8" headerRowBorderDxfId="9" tableBorderDxfId="7" totalsRowBorderDxfId="6">
  <tableColumns count="6">
    <tableColumn id="1" xr3:uid="{5B1B8004-2C95-4A47-A0CF-17A46A3C06CB}" name="PO#" dataDxfId="5"/>
    <tableColumn id="2" xr3:uid="{2D5BE1FC-1E35-4F8D-9FCB-25AF5CB4DE82}" name="%" dataDxfId="4"/>
    <tableColumn id="3" xr3:uid="{49802165-95C7-454C-AB36-1C64C28655B0}" name="SUPPLIER" dataDxfId="3"/>
    <tableColumn id="4" xr3:uid="{67B6112E-F236-4A3C-85C2-19AB349ED97E}" name="CODE" dataDxfId="2"/>
    <tableColumn id="5" xr3:uid="{B8BA1FC2-3445-4BB1-AA65-69A0C4363D3D}" name="USD $" dataDxfId="1"/>
    <tableColumn id="6" xr3:uid="{EBA795FC-FE90-40A1-8E6C-5F696C754FAD}" name="ETA MONTREAL"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javascript:void(0);"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675D-BC1C-4FC7-A7E2-6FC7885E3AE9}">
  <sheetPr>
    <tabColor rgb="FFFFFF00"/>
    <pageSetUpPr fitToPage="1"/>
  </sheetPr>
  <dimension ref="A1:AY65"/>
  <sheetViews>
    <sheetView tabSelected="1" zoomScale="60" zoomScaleNormal="60" workbookViewId="0">
      <pane xSplit="7" ySplit="2" topLeftCell="O3" activePane="bottomRight" state="frozen"/>
      <selection pane="topRight" activeCell="H2" sqref="H2"/>
      <selection pane="bottomLeft" activeCell="A5" sqref="A5"/>
      <selection pane="bottomRight" activeCell="T2" sqref="T2"/>
    </sheetView>
  </sheetViews>
  <sheetFormatPr defaultColWidth="11.42578125" defaultRowHeight="20.25" x14ac:dyDescent="0.3"/>
  <cols>
    <col min="1" max="1" width="36.5703125" style="283" customWidth="1"/>
    <col min="2" max="2" width="18.140625" style="283" customWidth="1"/>
    <col min="3" max="3" width="25.5703125" style="283" hidden="1" customWidth="1"/>
    <col min="4" max="4" width="17" style="283" hidden="1" customWidth="1"/>
    <col min="5" max="5" width="45.5703125" style="283" customWidth="1"/>
    <col min="6" max="6" width="26.5703125" style="283" customWidth="1"/>
    <col min="7" max="7" width="24.85546875" style="283" customWidth="1"/>
    <col min="8" max="8" width="22.7109375" style="283" hidden="1" customWidth="1"/>
    <col min="9" max="9" width="32.85546875" style="283" hidden="1" customWidth="1"/>
    <col min="10" max="11" width="39" style="283" hidden="1" customWidth="1"/>
    <col min="12" max="12" width="36.7109375" style="283" customWidth="1"/>
    <col min="13" max="13" width="42.85546875" style="283" customWidth="1"/>
    <col min="14" max="14" width="34.7109375" style="283" customWidth="1"/>
    <col min="15" max="15" width="22.85546875" style="283" customWidth="1"/>
    <col min="16" max="16" width="23.85546875" style="283" customWidth="1"/>
    <col min="17" max="17" width="31.7109375" style="283" customWidth="1"/>
    <col min="18" max="18" width="38.7109375" style="283" hidden="1" customWidth="1"/>
    <col min="19" max="19" width="33.28515625" style="283" hidden="1" customWidth="1"/>
    <col min="20" max="20" width="70.42578125" style="283" bestFit="1" customWidth="1"/>
    <col min="21" max="21" width="31.28515625" style="283" bestFit="1" customWidth="1"/>
    <col min="22" max="22" width="49.85546875" style="283" bestFit="1" customWidth="1"/>
    <col min="23" max="23" width="36.5703125" style="283" hidden="1" customWidth="1"/>
    <col min="24" max="24" width="24.7109375" style="283" bestFit="1" customWidth="1"/>
    <col min="25" max="25" width="29.140625" style="283" customWidth="1"/>
    <col min="26" max="26" width="25.140625" style="283" customWidth="1"/>
    <col min="27" max="27" width="30.42578125" style="283" customWidth="1"/>
    <col min="28" max="28" width="36.7109375" style="283" bestFit="1" customWidth="1"/>
    <col min="29" max="29" width="40.42578125" style="283" bestFit="1" customWidth="1"/>
    <col min="30" max="30" width="58.7109375" style="283" customWidth="1"/>
    <col min="31" max="31" width="36.5703125" style="283" customWidth="1"/>
    <col min="32" max="40" width="11.42578125" style="283" customWidth="1"/>
    <col min="41" max="16384" width="11.42578125" style="283"/>
  </cols>
  <sheetData>
    <row r="1" spans="1:51" ht="35.25" hidden="1" thickBot="1" x14ac:dyDescent="0.5">
      <c r="A1" s="877" t="s">
        <v>0</v>
      </c>
      <c r="B1" s="878"/>
      <c r="C1" s="878"/>
      <c r="D1" s="878"/>
      <c r="E1" s="878"/>
      <c r="F1" s="878"/>
      <c r="G1" s="878"/>
      <c r="H1" s="878"/>
      <c r="I1" s="878"/>
      <c r="J1" s="878"/>
      <c r="K1" s="878"/>
      <c r="L1" s="878"/>
      <c r="M1" s="878"/>
      <c r="N1" s="878"/>
      <c r="O1" s="878"/>
      <c r="P1" s="878"/>
      <c r="Q1" s="878"/>
      <c r="R1" s="878"/>
      <c r="S1" s="878"/>
      <c r="T1" s="878"/>
      <c r="U1" s="878"/>
      <c r="V1" s="878"/>
      <c r="W1" s="878"/>
      <c r="X1" s="878"/>
      <c r="Y1" s="879"/>
    </row>
    <row r="2" spans="1:51" ht="78" customHeight="1" x14ac:dyDescent="0.3">
      <c r="A2" s="696" t="s">
        <v>1</v>
      </c>
      <c r="B2" s="697" t="s">
        <v>2</v>
      </c>
      <c r="C2" s="698" t="s">
        <v>3</v>
      </c>
      <c r="D2" s="697" t="s">
        <v>4</v>
      </c>
      <c r="E2" s="697" t="s">
        <v>5</v>
      </c>
      <c r="F2" s="697" t="s">
        <v>6</v>
      </c>
      <c r="G2" s="697" t="s">
        <v>7</v>
      </c>
      <c r="H2" s="697" t="s">
        <v>8</v>
      </c>
      <c r="I2" s="697" t="s">
        <v>9</v>
      </c>
      <c r="J2" s="697" t="s">
        <v>10</v>
      </c>
      <c r="K2" s="697" t="s">
        <v>11</v>
      </c>
      <c r="L2" s="699" t="s">
        <v>12</v>
      </c>
      <c r="M2" s="697" t="s">
        <v>13</v>
      </c>
      <c r="N2" s="697" t="s">
        <v>14</v>
      </c>
      <c r="O2" s="700" t="s">
        <v>15</v>
      </c>
      <c r="P2" s="701" t="s">
        <v>16</v>
      </c>
      <c r="Q2" s="702" t="s">
        <v>17</v>
      </c>
      <c r="R2" s="702" t="s">
        <v>18</v>
      </c>
      <c r="S2" s="702" t="s">
        <v>19</v>
      </c>
      <c r="T2" s="703" t="s">
        <v>20</v>
      </c>
      <c r="U2" s="697" t="s">
        <v>21</v>
      </c>
      <c r="V2" s="704" t="s">
        <v>22</v>
      </c>
      <c r="W2" s="705" t="s">
        <v>23</v>
      </c>
      <c r="X2" s="706" t="s">
        <v>24</v>
      </c>
      <c r="Y2" s="710" t="s">
        <v>25</v>
      </c>
      <c r="Z2" s="279" t="s">
        <v>26</v>
      </c>
      <c r="AA2" s="280" t="s">
        <v>27</v>
      </c>
      <c r="AB2" s="280" t="s">
        <v>28</v>
      </c>
      <c r="AC2" s="280" t="s">
        <v>29</v>
      </c>
      <c r="AD2" s="280" t="s">
        <v>30</v>
      </c>
      <c r="AE2" s="282" t="s">
        <v>31</v>
      </c>
    </row>
    <row r="3" spans="1:51" s="413" customFormat="1" ht="46.5" x14ac:dyDescent="0.35">
      <c r="A3" s="487" t="s">
        <v>56</v>
      </c>
      <c r="B3" s="488" t="s">
        <v>42</v>
      </c>
      <c r="C3" s="489">
        <v>1364</v>
      </c>
      <c r="D3" s="488"/>
      <c r="E3" s="769" t="s">
        <v>57</v>
      </c>
      <c r="F3" s="488" t="s">
        <v>58</v>
      </c>
      <c r="G3" s="488" t="s">
        <v>59</v>
      </c>
      <c r="H3" s="502" t="s">
        <v>60</v>
      </c>
      <c r="I3" s="502" t="s">
        <v>61</v>
      </c>
      <c r="J3" s="502" t="s">
        <v>62</v>
      </c>
      <c r="K3" s="502"/>
      <c r="L3" s="490">
        <v>45935</v>
      </c>
      <c r="M3" s="490" t="s">
        <v>63</v>
      </c>
      <c r="N3" s="488" t="s">
        <v>45</v>
      </c>
      <c r="O3" s="491" t="s">
        <v>64</v>
      </c>
      <c r="P3" s="488" t="s">
        <v>64</v>
      </c>
      <c r="Q3" s="492" t="str">
        <f>IF(O3="NA","NA",(O3/C3))</f>
        <v>NA</v>
      </c>
      <c r="R3" s="548">
        <v>45950</v>
      </c>
      <c r="S3" s="492" t="s">
        <v>65</v>
      </c>
      <c r="T3" s="490">
        <f>R3+9</f>
        <v>45959</v>
      </c>
      <c r="U3" s="527" t="s">
        <v>66</v>
      </c>
      <c r="V3" s="490" t="s">
        <v>44</v>
      </c>
      <c r="W3" s="496" t="s">
        <v>67</v>
      </c>
      <c r="X3" s="622">
        <v>14100</v>
      </c>
      <c r="Y3" s="498" t="s">
        <v>68</v>
      </c>
      <c r="Z3" s="693" t="s">
        <v>41</v>
      </c>
      <c r="AA3" s="498"/>
      <c r="AB3" s="490"/>
      <c r="AC3" s="490"/>
      <c r="AD3" s="739"/>
      <c r="AE3" s="490"/>
      <c r="AF3" s="288"/>
      <c r="AG3" s="288"/>
      <c r="AH3" s="288"/>
      <c r="AI3" s="288"/>
      <c r="AJ3" s="288"/>
      <c r="AK3" s="288"/>
      <c r="AL3" s="288"/>
      <c r="AM3" s="288"/>
      <c r="AN3" s="288"/>
      <c r="AO3" s="288"/>
      <c r="AP3" s="288"/>
      <c r="AQ3" s="288"/>
      <c r="AR3" s="288"/>
      <c r="AS3" s="288"/>
      <c r="AT3" s="288"/>
      <c r="AU3" s="288"/>
      <c r="AV3" s="288"/>
      <c r="AW3" s="288"/>
      <c r="AX3" s="288"/>
      <c r="AY3" s="288"/>
    </row>
    <row r="4" spans="1:51" s="288" customFormat="1" ht="23.25" x14ac:dyDescent="0.35">
      <c r="A4" s="587" t="s">
        <v>69</v>
      </c>
      <c r="B4" s="787">
        <v>30843</v>
      </c>
      <c r="C4" s="489">
        <f>25000*2.20462</f>
        <v>55115.499999999993</v>
      </c>
      <c r="D4" s="488" t="s">
        <v>70</v>
      </c>
      <c r="E4" s="488" t="s">
        <v>71</v>
      </c>
      <c r="F4" s="488" t="s">
        <v>72</v>
      </c>
      <c r="G4" s="488" t="s">
        <v>73</v>
      </c>
      <c r="H4" s="488" t="s">
        <v>51</v>
      </c>
      <c r="I4" s="684" t="s">
        <v>74</v>
      </c>
      <c r="J4" s="488" t="s">
        <v>75</v>
      </c>
      <c r="K4" s="488"/>
      <c r="L4" s="490">
        <v>45912</v>
      </c>
      <c r="M4" s="809" t="str">
        <f>IF(OR(H4="cif", H4="cfr"), "-", "INSERT NAME HERE")</f>
        <v>-</v>
      </c>
      <c r="N4" s="503" t="s">
        <v>40</v>
      </c>
      <c r="O4" s="666">
        <v>575</v>
      </c>
      <c r="P4" s="488" t="str">
        <f>IF(O4=575,"CAD","INSERT CURRENCY")</f>
        <v>CAD</v>
      </c>
      <c r="Q4" s="504">
        <f>IF(O4="NA","NA",(O4/C4))</f>
        <v>1.0432636917019714E-2</v>
      </c>
      <c r="R4" s="548">
        <v>45942</v>
      </c>
      <c r="S4" s="492" t="s">
        <v>65</v>
      </c>
      <c r="T4" s="490">
        <v>45961</v>
      </c>
      <c r="U4" s="505" t="s">
        <v>76</v>
      </c>
      <c r="V4" s="490" t="s">
        <v>44</v>
      </c>
      <c r="W4" s="496" t="s">
        <v>45</v>
      </c>
      <c r="X4" s="497">
        <v>93042.75</v>
      </c>
      <c r="Y4" s="498" t="s">
        <v>68</v>
      </c>
      <c r="Z4" s="498" t="s">
        <v>41</v>
      </c>
      <c r="AA4" s="498"/>
      <c r="AB4" s="490"/>
      <c r="AC4" s="490">
        <v>45961</v>
      </c>
      <c r="AD4" s="501"/>
      <c r="AE4" s="490"/>
    </row>
    <row r="5" spans="1:51" s="681" customFormat="1" ht="46.5" x14ac:dyDescent="0.35">
      <c r="A5" s="587" t="s">
        <v>92</v>
      </c>
      <c r="B5" s="871" t="s">
        <v>93</v>
      </c>
      <c r="C5" s="489">
        <f>6592*2.20462*2</f>
        <v>29065.710079999997</v>
      </c>
      <c r="D5" s="488" t="s">
        <v>94</v>
      </c>
      <c r="E5" s="769" t="s">
        <v>95</v>
      </c>
      <c r="F5" s="488" t="s">
        <v>96</v>
      </c>
      <c r="G5" s="488" t="s">
        <v>36</v>
      </c>
      <c r="H5" s="488" t="s">
        <v>37</v>
      </c>
      <c r="I5" s="684" t="s">
        <v>97</v>
      </c>
      <c r="J5" s="488" t="s">
        <v>98</v>
      </c>
      <c r="K5" s="488"/>
      <c r="L5" s="490">
        <v>45923</v>
      </c>
      <c r="M5" s="811" t="s">
        <v>99</v>
      </c>
      <c r="N5" s="503" t="s">
        <v>40</v>
      </c>
      <c r="O5" s="491">
        <v>2180</v>
      </c>
      <c r="P5" s="488" t="s">
        <v>41</v>
      </c>
      <c r="Q5" s="504">
        <f>IF(O5="NA","NA",(O5/C5))</f>
        <v>7.500246833811397E-2</v>
      </c>
      <c r="R5" s="548" t="s">
        <v>42</v>
      </c>
      <c r="S5" s="527" t="s">
        <v>42</v>
      </c>
      <c r="T5" s="548">
        <v>45963</v>
      </c>
      <c r="U5" s="527" t="s">
        <v>43</v>
      </c>
      <c r="V5" s="490" t="s">
        <v>91</v>
      </c>
      <c r="W5" s="496" t="s">
        <v>45</v>
      </c>
      <c r="X5" s="497">
        <f>53482+26310</f>
        <v>79792</v>
      </c>
      <c r="Y5" s="498"/>
      <c r="Z5" s="498" t="s">
        <v>41</v>
      </c>
      <c r="AA5" s="498"/>
      <c r="AB5" s="490"/>
      <c r="AC5" s="490"/>
      <c r="AD5" s="501"/>
      <c r="AE5" s="490"/>
    </row>
    <row r="6" spans="1:51" s="288" customFormat="1" ht="46.5" customHeight="1" x14ac:dyDescent="0.35">
      <c r="A6" s="844" t="s">
        <v>87</v>
      </c>
      <c r="B6" s="858" t="s">
        <v>88</v>
      </c>
      <c r="C6" s="750">
        <v>55000</v>
      </c>
      <c r="D6" s="537" t="s">
        <v>48</v>
      </c>
      <c r="E6" s="778" t="s">
        <v>89</v>
      </c>
      <c r="F6" s="537" t="s">
        <v>90</v>
      </c>
      <c r="G6" s="537" t="s">
        <v>73</v>
      </c>
      <c r="H6" s="537" t="s">
        <v>51</v>
      </c>
      <c r="I6" s="537" t="s">
        <v>74</v>
      </c>
      <c r="J6" s="537" t="s">
        <v>75</v>
      </c>
      <c r="K6" s="537"/>
      <c r="L6" s="506">
        <v>45929</v>
      </c>
      <c r="M6" s="810" t="str">
        <f>IF(OR(H6="cif", H6="cfr"), "-", "INSERT NAME HERE")</f>
        <v>-</v>
      </c>
      <c r="N6" s="488" t="s">
        <v>40</v>
      </c>
      <c r="O6" s="538">
        <f>IF(OR(H6="cif", H6="cfr"), 575, "INSERT VALUE HERE")</f>
        <v>575</v>
      </c>
      <c r="P6" s="502" t="str">
        <f>IF(O6=575,"CAD","INSERT CURRENCY")</f>
        <v>CAD</v>
      </c>
      <c r="Q6" s="519">
        <f>IF(O6="NA","NA",(O6/C6))</f>
        <v>1.0454545454545454E-2</v>
      </c>
      <c r="R6" s="490">
        <v>45953</v>
      </c>
      <c r="S6" s="519" t="s">
        <v>65</v>
      </c>
      <c r="T6" s="548">
        <v>45963</v>
      </c>
      <c r="U6" s="807" t="s">
        <v>76</v>
      </c>
      <c r="V6" s="490" t="s">
        <v>91</v>
      </c>
      <c r="W6" s="496" t="s">
        <v>45</v>
      </c>
      <c r="X6" s="764">
        <f>57175+52625</f>
        <v>109800</v>
      </c>
      <c r="Y6" s="498" t="s">
        <v>46</v>
      </c>
      <c r="Z6" s="498" t="s">
        <v>41</v>
      </c>
      <c r="AA6" s="518"/>
      <c r="AB6" s="490"/>
      <c r="AC6" s="828"/>
      <c r="AD6" s="501"/>
      <c r="AE6" s="846"/>
      <c r="AY6" s="413"/>
    </row>
    <row r="7" spans="1:51" s="413" customFormat="1" ht="23.25" x14ac:dyDescent="0.35">
      <c r="A7" s="802" t="s">
        <v>77</v>
      </c>
      <c r="B7" s="531">
        <v>31562</v>
      </c>
      <c r="C7" s="530">
        <f>25*1200</f>
        <v>30000</v>
      </c>
      <c r="D7" s="531">
        <f>1200/60</f>
        <v>20</v>
      </c>
      <c r="E7" s="531" t="s">
        <v>78</v>
      </c>
      <c r="F7" s="531" t="s">
        <v>42</v>
      </c>
      <c r="G7" s="531" t="s">
        <v>42</v>
      </c>
      <c r="H7" s="531" t="s">
        <v>37</v>
      </c>
      <c r="I7" s="531"/>
      <c r="J7" s="531" t="s">
        <v>53</v>
      </c>
      <c r="K7" s="531"/>
      <c r="L7" s="645">
        <v>45960</v>
      </c>
      <c r="M7" s="645" t="s">
        <v>42</v>
      </c>
      <c r="N7" s="732" t="s">
        <v>45</v>
      </c>
      <c r="O7" s="650" t="s">
        <v>64</v>
      </c>
      <c r="P7" s="531" t="s">
        <v>64</v>
      </c>
      <c r="Q7" s="650" t="str">
        <f>IF(O7="NA","NA",(O7/C7))</f>
        <v>NA</v>
      </c>
      <c r="R7" s="543" t="s">
        <v>42</v>
      </c>
      <c r="S7" s="544" t="s">
        <v>42</v>
      </c>
      <c r="T7" s="711">
        <v>45964</v>
      </c>
      <c r="U7" s="539" t="s">
        <v>66</v>
      </c>
      <c r="V7" s="662" t="s">
        <v>44</v>
      </c>
      <c r="W7" s="735" t="s">
        <v>45</v>
      </c>
      <c r="X7" s="712">
        <v>96000</v>
      </c>
      <c r="Y7" s="652" t="s">
        <v>79</v>
      </c>
      <c r="Z7" s="803" t="s">
        <v>80</v>
      </c>
      <c r="AA7" s="507"/>
      <c r="AB7" s="490"/>
      <c r="AC7" s="506"/>
      <c r="AD7" s="753"/>
      <c r="AE7" s="286"/>
      <c r="AF7" s="288"/>
      <c r="AG7" s="288"/>
      <c r="AH7" s="288"/>
      <c r="AI7" s="288"/>
      <c r="AJ7" s="288"/>
      <c r="AK7" s="288"/>
      <c r="AL7" s="288"/>
      <c r="AM7" s="288"/>
      <c r="AN7" s="288"/>
      <c r="AO7" s="288"/>
      <c r="AP7" s="288"/>
      <c r="AQ7" s="288"/>
      <c r="AR7" s="288"/>
      <c r="AS7" s="288"/>
      <c r="AT7" s="288"/>
      <c r="AU7" s="288"/>
      <c r="AV7" s="288"/>
      <c r="AW7" s="288"/>
      <c r="AX7" s="288"/>
      <c r="AY7" s="288"/>
    </row>
    <row r="8" spans="1:51" s="682" customFormat="1" ht="23.25" x14ac:dyDescent="0.3">
      <c r="A8" s="487" t="s">
        <v>104</v>
      </c>
      <c r="B8" s="488">
        <v>31284</v>
      </c>
      <c r="C8" s="489">
        <f>18598*2.20462</f>
        <v>41001.52276</v>
      </c>
      <c r="D8" s="488" t="s">
        <v>105</v>
      </c>
      <c r="E8" s="488" t="s">
        <v>106</v>
      </c>
      <c r="F8" s="488" t="s">
        <v>107</v>
      </c>
      <c r="G8" s="488" t="s">
        <v>108</v>
      </c>
      <c r="H8" s="488" t="s">
        <v>109</v>
      </c>
      <c r="I8" s="779" t="e" vm="1">
        <v>#VALUE!</v>
      </c>
      <c r="J8" s="488" t="s">
        <v>53</v>
      </c>
      <c r="K8" s="488"/>
      <c r="L8" s="490">
        <v>45902</v>
      </c>
      <c r="M8" s="809" t="str">
        <f>IF(OR(H8="cif", H8="cfr"), "-", "INSERT NAME HERE")</f>
        <v>-</v>
      </c>
      <c r="N8" s="503" t="s">
        <v>40</v>
      </c>
      <c r="O8" s="491">
        <f>IF(OR(H8="cif", H8="cfr"), 575, "INSERT VALUE HERE")</f>
        <v>575</v>
      </c>
      <c r="P8" s="488" t="str">
        <f>IF(O8=575,"CAD","INSERT CURRENCY")</f>
        <v>CAD</v>
      </c>
      <c r="Q8" s="504">
        <f>IF(O8="NA","NA",(O8/C8))</f>
        <v>1.4023869390552363E-2</v>
      </c>
      <c r="R8" s="548" t="s">
        <v>42</v>
      </c>
      <c r="S8" s="550" t="s">
        <v>42</v>
      </c>
      <c r="T8" s="548">
        <v>45964</v>
      </c>
      <c r="U8" s="630" t="s">
        <v>43</v>
      </c>
      <c r="V8" s="490" t="s">
        <v>91</v>
      </c>
      <c r="W8" s="549" t="s">
        <v>45</v>
      </c>
      <c r="X8" s="622">
        <v>51602.6</v>
      </c>
      <c r="Y8" s="498" t="s">
        <v>46</v>
      </c>
      <c r="Z8" s="498" t="s">
        <v>41</v>
      </c>
      <c r="AA8" s="693"/>
      <c r="AB8" s="490">
        <v>45954</v>
      </c>
      <c r="AC8" s="490"/>
      <c r="AD8" s="490"/>
      <c r="AE8" s="490"/>
      <c r="AF8" s="681"/>
      <c r="AG8" s="681"/>
      <c r="AH8" s="681"/>
      <c r="AI8" s="681"/>
      <c r="AJ8" s="681"/>
      <c r="AK8" s="681"/>
      <c r="AL8" s="681"/>
      <c r="AM8" s="681"/>
      <c r="AN8" s="681"/>
      <c r="AO8" s="681"/>
      <c r="AP8" s="681"/>
      <c r="AQ8" s="681"/>
      <c r="AR8" s="681"/>
      <c r="AS8" s="681"/>
      <c r="AT8" s="681"/>
      <c r="AU8" s="681"/>
      <c r="AV8" s="681"/>
      <c r="AW8" s="681"/>
      <c r="AX8" s="681"/>
      <c r="AY8" s="681"/>
    </row>
    <row r="9" spans="1:51" s="288" customFormat="1" ht="23.25" x14ac:dyDescent="0.3">
      <c r="A9" s="508" t="s">
        <v>81</v>
      </c>
      <c r="B9" s="509">
        <v>31990</v>
      </c>
      <c r="C9" s="510">
        <f>24948*2.20462</f>
        <v>55000.859759999992</v>
      </c>
      <c r="D9" s="509" t="s">
        <v>70</v>
      </c>
      <c r="E9" s="509" t="s">
        <v>82</v>
      </c>
      <c r="F9" s="509" t="s">
        <v>83</v>
      </c>
      <c r="G9" s="509" t="s">
        <v>42</v>
      </c>
      <c r="H9" s="509" t="s">
        <v>84</v>
      </c>
      <c r="I9" s="509" t="s">
        <v>85</v>
      </c>
      <c r="J9" s="509" t="s">
        <v>53</v>
      </c>
      <c r="K9" s="859">
        <v>45951</v>
      </c>
      <c r="L9" s="511">
        <v>45951</v>
      </c>
      <c r="M9" s="511" t="s">
        <v>42</v>
      </c>
      <c r="N9" s="732" t="s">
        <v>86</v>
      </c>
      <c r="O9" s="512">
        <v>0</v>
      </c>
      <c r="P9" s="509" t="s">
        <v>64</v>
      </c>
      <c r="Q9" s="513">
        <f>IF(O9="NA","NA",(O9/C9))</f>
        <v>0</v>
      </c>
      <c r="R9" s="543" t="s">
        <v>42</v>
      </c>
      <c r="S9" s="544" t="s">
        <v>42</v>
      </c>
      <c r="T9" s="711">
        <v>45964</v>
      </c>
      <c r="U9" s="539" t="s">
        <v>66</v>
      </c>
      <c r="V9" s="515" t="s">
        <v>91</v>
      </c>
      <c r="W9" s="708" t="s">
        <v>67</v>
      </c>
      <c r="X9" s="712">
        <v>27605</v>
      </c>
      <c r="Y9" s="515" t="s">
        <v>79</v>
      </c>
      <c r="Z9" s="515" t="s">
        <v>80</v>
      </c>
      <c r="AA9" s="518"/>
      <c r="AB9" s="490"/>
      <c r="AC9" s="490"/>
      <c r="AD9" s="490"/>
      <c r="AE9" s="286"/>
    </row>
    <row r="10" spans="1:51" s="288" customFormat="1" ht="23.25" x14ac:dyDescent="0.35">
      <c r="A10" s="508" t="s">
        <v>113</v>
      </c>
      <c r="B10" s="509">
        <v>31846</v>
      </c>
      <c r="C10" s="510">
        <f>30*720</f>
        <v>21600</v>
      </c>
      <c r="D10" s="509">
        <v>10</v>
      </c>
      <c r="E10" s="509" t="s">
        <v>114</v>
      </c>
      <c r="F10" s="509" t="s">
        <v>42</v>
      </c>
      <c r="G10" s="509" t="s">
        <v>42</v>
      </c>
      <c r="H10" s="509" t="s">
        <v>37</v>
      </c>
      <c r="I10" s="509" t="s">
        <v>115</v>
      </c>
      <c r="J10" s="509" t="s">
        <v>62</v>
      </c>
      <c r="K10" s="509"/>
      <c r="L10" s="511">
        <v>45961</v>
      </c>
      <c r="M10" s="511" t="s">
        <v>42</v>
      </c>
      <c r="N10" s="732" t="s">
        <v>103</v>
      </c>
      <c r="O10" s="512">
        <v>2695</v>
      </c>
      <c r="P10" s="509" t="s">
        <v>80</v>
      </c>
      <c r="Q10" s="513">
        <f>IF(O10="NA","NA",(O10/C10))</f>
        <v>0.12476851851851851</v>
      </c>
      <c r="R10" s="543" t="s">
        <v>42</v>
      </c>
      <c r="S10" s="513" t="s">
        <v>42</v>
      </c>
      <c r="T10" s="711">
        <f>L10+4</f>
        <v>45965</v>
      </c>
      <c r="U10" s="539" t="s">
        <v>66</v>
      </c>
      <c r="V10" s="515" t="s">
        <v>91</v>
      </c>
      <c r="W10" s="708" t="s">
        <v>45</v>
      </c>
      <c r="X10" s="712">
        <v>54000</v>
      </c>
      <c r="Y10" s="515" t="s">
        <v>79</v>
      </c>
      <c r="Z10" s="515" t="s">
        <v>41</v>
      </c>
      <c r="AA10" s="693"/>
      <c r="AB10" s="490"/>
      <c r="AC10" s="490"/>
      <c r="AD10" s="501"/>
      <c r="AE10" s="286"/>
    </row>
    <row r="11" spans="1:51" s="288" customFormat="1" ht="46.5" x14ac:dyDescent="0.3">
      <c r="A11" s="842" t="s">
        <v>100</v>
      </c>
      <c r="B11" s="509">
        <v>31939</v>
      </c>
      <c r="C11" s="510">
        <f>3629*2.20462</f>
        <v>8000.5659799999994</v>
      </c>
      <c r="D11" s="509">
        <v>6</v>
      </c>
      <c r="E11" s="840" t="s">
        <v>101</v>
      </c>
      <c r="F11" s="509" t="s">
        <v>42</v>
      </c>
      <c r="G11" s="509" t="s">
        <v>42</v>
      </c>
      <c r="H11" s="509" t="s">
        <v>37</v>
      </c>
      <c r="I11" s="509" t="s">
        <v>102</v>
      </c>
      <c r="J11" s="509" t="s">
        <v>62</v>
      </c>
      <c r="K11" s="509"/>
      <c r="L11" s="511">
        <v>45961</v>
      </c>
      <c r="M11" s="511" t="s">
        <v>42</v>
      </c>
      <c r="N11" s="732" t="s">
        <v>103</v>
      </c>
      <c r="O11" s="512">
        <v>1795</v>
      </c>
      <c r="P11" s="509" t="s">
        <v>80</v>
      </c>
      <c r="Q11" s="513">
        <f>IF(O11="NA","NA",(O11/C11))</f>
        <v>0.22435912715265177</v>
      </c>
      <c r="R11" s="543" t="s">
        <v>42</v>
      </c>
      <c r="S11" s="513" t="s">
        <v>42</v>
      </c>
      <c r="T11" s="511">
        <f>L11+5</f>
        <v>45966</v>
      </c>
      <c r="U11" s="539" t="s">
        <v>66</v>
      </c>
      <c r="V11" s="515" t="s">
        <v>91</v>
      </c>
      <c r="W11" s="708" t="s">
        <v>45</v>
      </c>
      <c r="X11" s="712">
        <v>21080</v>
      </c>
      <c r="Y11" s="515" t="s">
        <v>79</v>
      </c>
      <c r="Z11" s="515" t="s">
        <v>41</v>
      </c>
      <c r="AA11" s="518"/>
      <c r="AB11" s="490"/>
      <c r="AC11" s="490"/>
      <c r="AD11" s="490"/>
      <c r="AE11" s="286"/>
    </row>
    <row r="12" spans="1:51" s="682" customFormat="1" ht="24.95" customHeight="1" x14ac:dyDescent="0.3">
      <c r="A12" s="508" t="s">
        <v>259</v>
      </c>
      <c r="B12" s="509">
        <v>28366</v>
      </c>
      <c r="C12" s="510">
        <v>40500</v>
      </c>
      <c r="D12" s="509" t="s">
        <v>249</v>
      </c>
      <c r="E12" s="509" t="s">
        <v>260</v>
      </c>
      <c r="F12" s="509"/>
      <c r="G12" s="509"/>
      <c r="H12" s="509" t="s">
        <v>37</v>
      </c>
      <c r="I12" s="509" t="s">
        <v>261</v>
      </c>
      <c r="J12" s="509" t="s">
        <v>53</v>
      </c>
      <c r="K12" s="509"/>
      <c r="L12" s="511">
        <v>45966</v>
      </c>
      <c r="M12" s="511" t="s">
        <v>42</v>
      </c>
      <c r="N12" s="732" t="s">
        <v>45</v>
      </c>
      <c r="O12" s="512">
        <v>0</v>
      </c>
      <c r="P12" s="509" t="s">
        <v>64</v>
      </c>
      <c r="Q12" s="513" t="s">
        <v>64</v>
      </c>
      <c r="R12" s="514" t="s">
        <v>42</v>
      </c>
      <c r="S12" s="513" t="s">
        <v>42</v>
      </c>
      <c r="T12" s="511">
        <v>45966</v>
      </c>
      <c r="U12" s="516" t="s">
        <v>66</v>
      </c>
      <c r="V12" s="515" t="s">
        <v>91</v>
      </c>
      <c r="W12" s="708" t="s">
        <v>45</v>
      </c>
      <c r="X12" s="712">
        <v>56700</v>
      </c>
      <c r="Y12" s="515" t="s">
        <v>79</v>
      </c>
      <c r="Z12" s="515" t="s">
        <v>80</v>
      </c>
      <c r="AA12" s="693"/>
      <c r="AB12" s="693"/>
      <c r="AC12" s="693"/>
      <c r="AD12" s="692" t="s">
        <v>262</v>
      </c>
      <c r="AE12" s="286"/>
      <c r="AF12" s="681"/>
      <c r="AG12" s="681"/>
      <c r="AH12" s="681"/>
      <c r="AI12" s="681"/>
      <c r="AJ12" s="681"/>
      <c r="AK12" s="681"/>
      <c r="AL12" s="681"/>
      <c r="AM12" s="681"/>
      <c r="AN12" s="681"/>
      <c r="AO12" s="681"/>
      <c r="AP12" s="681"/>
      <c r="AQ12" s="681"/>
      <c r="AR12" s="681"/>
      <c r="AS12" s="681"/>
      <c r="AT12" s="681"/>
      <c r="AU12" s="681"/>
      <c r="AV12" s="681"/>
      <c r="AW12" s="681"/>
      <c r="AX12" s="681"/>
      <c r="AY12" s="681"/>
    </row>
    <row r="13" spans="1:51" s="682" customFormat="1" ht="24.95" customHeight="1" x14ac:dyDescent="0.35">
      <c r="A13" s="587" t="s">
        <v>110</v>
      </c>
      <c r="B13" s="502">
        <v>31652</v>
      </c>
      <c r="C13" s="489">
        <f>22000*2.20642</f>
        <v>48541.24</v>
      </c>
      <c r="D13" s="488" t="s">
        <v>70</v>
      </c>
      <c r="E13" s="542" t="s">
        <v>111</v>
      </c>
      <c r="F13" s="502" t="s">
        <v>112</v>
      </c>
      <c r="G13" s="488" t="s">
        <v>36</v>
      </c>
      <c r="H13" s="523" t="s">
        <v>109</v>
      </c>
      <c r="I13" s="684" t="e" vm="1">
        <v>#VALUE!</v>
      </c>
      <c r="J13" s="488" t="s">
        <v>53</v>
      </c>
      <c r="K13" s="488"/>
      <c r="L13" s="490">
        <v>45915</v>
      </c>
      <c r="M13" s="811" t="str">
        <f>IF(OR(H13="cif", H13="cfr"), "-", "INSERT NAME HERE")</f>
        <v>-</v>
      </c>
      <c r="N13" s="503" t="s">
        <v>40</v>
      </c>
      <c r="O13" s="491">
        <f>IF(OR(H13="cif", H13="cfr"), 575, "INSERT VALUE HERE")</f>
        <v>575</v>
      </c>
      <c r="P13" s="488" t="str">
        <f>IF(O13=575,"CAD","INSERT CURRENCY")</f>
        <v>CAD</v>
      </c>
      <c r="Q13" s="504">
        <f>IF(O13="NA","NA",(O13/C13))</f>
        <v>1.1845597681476618E-2</v>
      </c>
      <c r="R13" s="490" t="s">
        <v>42</v>
      </c>
      <c r="S13" s="492" t="s">
        <v>42</v>
      </c>
      <c r="T13" s="490">
        <v>45967</v>
      </c>
      <c r="U13" s="505" t="s">
        <v>43</v>
      </c>
      <c r="V13" s="490" t="s">
        <v>91</v>
      </c>
      <c r="W13" s="496" t="s">
        <v>45</v>
      </c>
      <c r="X13" s="528">
        <v>174680</v>
      </c>
      <c r="Y13" s="498" t="s">
        <v>1643</v>
      </c>
      <c r="Z13" s="498" t="s">
        <v>41</v>
      </c>
      <c r="AA13" s="297"/>
      <c r="AB13" s="490"/>
      <c r="AC13" s="739"/>
      <c r="AD13" s="739"/>
      <c r="AE13" s="490"/>
      <c r="AF13" s="681"/>
      <c r="AG13" s="681"/>
      <c r="AH13" s="681"/>
      <c r="AI13" s="681"/>
      <c r="AJ13" s="681"/>
      <c r="AK13" s="681"/>
      <c r="AL13" s="681"/>
      <c r="AM13" s="681"/>
      <c r="AN13" s="681"/>
      <c r="AO13" s="681"/>
      <c r="AP13" s="681"/>
      <c r="AQ13" s="681"/>
      <c r="AR13" s="681"/>
      <c r="AS13" s="681"/>
      <c r="AT13" s="681"/>
      <c r="AU13" s="824"/>
      <c r="AV13" s="824"/>
      <c r="AW13" s="824"/>
      <c r="AX13" s="824"/>
      <c r="AY13" s="824"/>
    </row>
    <row r="14" spans="1:51" s="288" customFormat="1" ht="23.25" customHeight="1" x14ac:dyDescent="0.3">
      <c r="A14" s="508" t="s">
        <v>263</v>
      </c>
      <c r="B14" s="509">
        <v>30978</v>
      </c>
      <c r="C14" s="510">
        <f>800*50</f>
        <v>40000</v>
      </c>
      <c r="D14" s="509" t="s">
        <v>249</v>
      </c>
      <c r="E14" s="509" t="s">
        <v>265</v>
      </c>
      <c r="F14" s="531"/>
      <c r="G14" s="509"/>
      <c r="H14" s="509" t="s">
        <v>37</v>
      </c>
      <c r="I14" s="509" t="s">
        <v>266</v>
      </c>
      <c r="J14" s="509" t="s">
        <v>62</v>
      </c>
      <c r="K14" s="859">
        <v>45966</v>
      </c>
      <c r="L14" s="511">
        <v>45966</v>
      </c>
      <c r="M14" s="511" t="s">
        <v>42</v>
      </c>
      <c r="N14" s="732" t="s">
        <v>103</v>
      </c>
      <c r="O14" s="512">
        <v>2395</v>
      </c>
      <c r="P14" s="509" t="s">
        <v>41</v>
      </c>
      <c r="Q14" s="512">
        <f>IF(O14="NA","NA",(O14/C14))</f>
        <v>5.9874999999999998E-2</v>
      </c>
      <c r="R14" s="543" t="s">
        <v>42</v>
      </c>
      <c r="S14" s="544" t="s">
        <v>42</v>
      </c>
      <c r="T14" s="711">
        <f>L14+2</f>
        <v>45968</v>
      </c>
      <c r="U14" s="539" t="s">
        <v>66</v>
      </c>
      <c r="V14" s="515" t="s">
        <v>91</v>
      </c>
      <c r="W14" s="708" t="s">
        <v>45</v>
      </c>
      <c r="X14" s="712"/>
      <c r="Y14" s="515" t="s">
        <v>79</v>
      </c>
      <c r="Z14" s="515" t="s">
        <v>41</v>
      </c>
      <c r="AA14" s="693"/>
      <c r="AB14" s="693"/>
      <c r="AC14" s="490"/>
      <c r="AD14" s="488"/>
      <c r="AE14" s="286"/>
    </row>
    <row r="15" spans="1:51" s="288" customFormat="1" ht="23.25" customHeight="1" x14ac:dyDescent="0.3">
      <c r="A15" s="487" t="s">
        <v>116</v>
      </c>
      <c r="B15" s="488">
        <v>31326</v>
      </c>
      <c r="C15" s="489">
        <v>55000</v>
      </c>
      <c r="D15" s="488">
        <v>40</v>
      </c>
      <c r="E15" s="488" t="s">
        <v>117</v>
      </c>
      <c r="F15" s="488" t="s">
        <v>118</v>
      </c>
      <c r="G15" s="488" t="s">
        <v>119</v>
      </c>
      <c r="H15" s="488" t="s">
        <v>37</v>
      </c>
      <c r="I15" s="502" t="e" vm="2">
        <v>#VALUE!</v>
      </c>
      <c r="J15" s="488" t="s">
        <v>120</v>
      </c>
      <c r="K15" s="488"/>
      <c r="L15" s="490">
        <v>45924</v>
      </c>
      <c r="M15" s="811" t="s">
        <v>39</v>
      </c>
      <c r="N15" s="503" t="s">
        <v>40</v>
      </c>
      <c r="O15" s="491">
        <v>4620</v>
      </c>
      <c r="P15" s="488" t="s">
        <v>41</v>
      </c>
      <c r="Q15" s="504">
        <f>IF(O15="NA","NA",(O15/C15))</f>
        <v>8.4000000000000005E-2</v>
      </c>
      <c r="R15" s="548">
        <v>45964</v>
      </c>
      <c r="S15" s="550" t="s">
        <v>121</v>
      </c>
      <c r="T15" s="548">
        <v>45969</v>
      </c>
      <c r="U15" s="630" t="s">
        <v>76</v>
      </c>
      <c r="V15" s="490" t="s">
        <v>122</v>
      </c>
      <c r="W15" s="549" t="s">
        <v>45</v>
      </c>
      <c r="X15" s="497">
        <f>324500/2*0.9</f>
        <v>146025</v>
      </c>
      <c r="Y15" s="498" t="s">
        <v>46</v>
      </c>
      <c r="Z15" s="498" t="s">
        <v>41</v>
      </c>
      <c r="AA15" s="518"/>
      <c r="AB15" s="490"/>
      <c r="AC15" s="490"/>
      <c r="AD15" s="490"/>
      <c r="AE15" s="490"/>
    </row>
    <row r="16" spans="1:51" s="413" customFormat="1" ht="24.95" customHeight="1" x14ac:dyDescent="0.3">
      <c r="A16" s="487" t="s">
        <v>116</v>
      </c>
      <c r="B16" s="488">
        <v>31327</v>
      </c>
      <c r="C16" s="489">
        <v>55000</v>
      </c>
      <c r="D16" s="488">
        <v>40</v>
      </c>
      <c r="E16" s="488" t="s">
        <v>117</v>
      </c>
      <c r="F16" s="488" t="s">
        <v>123</v>
      </c>
      <c r="G16" s="488" t="s">
        <v>119</v>
      </c>
      <c r="H16" s="488" t="s">
        <v>37</v>
      </c>
      <c r="I16" s="502" t="e" vm="2">
        <v>#VALUE!</v>
      </c>
      <c r="J16" s="488" t="s">
        <v>120</v>
      </c>
      <c r="K16" s="488"/>
      <c r="L16" s="490">
        <v>45924</v>
      </c>
      <c r="M16" s="811" t="s">
        <v>39</v>
      </c>
      <c r="N16" s="488" t="s">
        <v>40</v>
      </c>
      <c r="O16" s="491">
        <v>4620</v>
      </c>
      <c r="P16" s="488" t="s">
        <v>41</v>
      </c>
      <c r="Q16" s="504">
        <f>IF(O16="NA","NA",(O16/C16))</f>
        <v>8.4000000000000005E-2</v>
      </c>
      <c r="R16" s="548">
        <v>45964</v>
      </c>
      <c r="S16" s="492" t="s">
        <v>121</v>
      </c>
      <c r="T16" s="490">
        <v>45969</v>
      </c>
      <c r="U16" s="505" t="s">
        <v>76</v>
      </c>
      <c r="V16" s="490" t="s">
        <v>122</v>
      </c>
      <c r="W16" s="496" t="s">
        <v>45</v>
      </c>
      <c r="X16" s="497">
        <f>324500/2*0.9</f>
        <v>146025</v>
      </c>
      <c r="Y16" s="498" t="s">
        <v>46</v>
      </c>
      <c r="Z16" s="498" t="s">
        <v>41</v>
      </c>
      <c r="AA16" s="507"/>
      <c r="AB16" s="490"/>
      <c r="AC16" s="506"/>
      <c r="AD16" s="808"/>
      <c r="AE16" s="490"/>
      <c r="AF16" s="288"/>
      <c r="AG16" s="288"/>
      <c r="AH16" s="288"/>
      <c r="AI16" s="288"/>
      <c r="AJ16" s="288"/>
      <c r="AK16" s="288"/>
      <c r="AL16" s="288"/>
      <c r="AM16" s="288"/>
      <c r="AN16" s="288"/>
      <c r="AO16" s="288"/>
      <c r="AP16" s="288"/>
      <c r="AQ16" s="288"/>
      <c r="AR16" s="288"/>
      <c r="AS16" s="288"/>
      <c r="AT16" s="288"/>
      <c r="AU16" s="288"/>
      <c r="AV16" s="288"/>
      <c r="AW16" s="288"/>
      <c r="AX16" s="288"/>
      <c r="AY16" s="288"/>
    </row>
    <row r="17" spans="1:51" s="288" customFormat="1" ht="23.25" customHeight="1" x14ac:dyDescent="0.35">
      <c r="A17" s="777" t="s">
        <v>124</v>
      </c>
      <c r="B17" s="522">
        <v>31296</v>
      </c>
      <c r="C17" s="521">
        <f>1400*2.20462</f>
        <v>3086.4679999999998</v>
      </c>
      <c r="D17" s="522">
        <v>5</v>
      </c>
      <c r="E17" s="522" t="s">
        <v>125</v>
      </c>
      <c r="F17" s="522" t="s">
        <v>126</v>
      </c>
      <c r="G17" s="522" t="s">
        <v>73</v>
      </c>
      <c r="H17" s="522" t="s">
        <v>51</v>
      </c>
      <c r="I17" s="779" t="s">
        <v>52</v>
      </c>
      <c r="J17" s="522" t="s">
        <v>75</v>
      </c>
      <c r="K17" s="522"/>
      <c r="L17" s="490">
        <v>45928</v>
      </c>
      <c r="M17" s="810" t="str">
        <f>IF(OR(H17="cif", H17="cfr"), "-", "INSERT NAME HERE")</f>
        <v>-</v>
      </c>
      <c r="N17" s="522" t="s">
        <v>40</v>
      </c>
      <c r="O17" s="875">
        <v>575</v>
      </c>
      <c r="P17" s="522" t="str">
        <f>IF(O17=575,"CAD","INSERT CURRENCY")</f>
        <v>CAD</v>
      </c>
      <c r="Q17" s="821">
        <f>IF(O17="NA","NA",(O17/C17))</f>
        <v>0.18629708780392346</v>
      </c>
      <c r="R17" s="808">
        <v>45964</v>
      </c>
      <c r="S17" s="526" t="s">
        <v>65</v>
      </c>
      <c r="T17" s="490">
        <v>45972</v>
      </c>
      <c r="U17" s="505" t="s">
        <v>76</v>
      </c>
      <c r="V17" s="490" t="s">
        <v>122</v>
      </c>
      <c r="W17" s="825" t="s">
        <v>45</v>
      </c>
      <c r="X17" s="536">
        <v>12250</v>
      </c>
      <c r="Y17" s="535"/>
      <c r="Z17" s="535" t="s">
        <v>41</v>
      </c>
      <c r="AA17" s="535"/>
      <c r="AB17" s="490"/>
      <c r="AC17" s="506"/>
      <c r="AD17" s="753"/>
      <c r="AE17" s="490"/>
    </row>
    <row r="18" spans="1:51" s="824" customFormat="1" ht="46.5" customHeight="1" x14ac:dyDescent="0.3">
      <c r="A18" s="587" t="s">
        <v>131</v>
      </c>
      <c r="B18" s="488">
        <v>30481</v>
      </c>
      <c r="C18" s="489">
        <v>36250</v>
      </c>
      <c r="D18" s="488" t="s">
        <v>105</v>
      </c>
      <c r="E18" s="488" t="s">
        <v>132</v>
      </c>
      <c r="F18" s="488" t="s">
        <v>133</v>
      </c>
      <c r="G18" s="488" t="s">
        <v>108</v>
      </c>
      <c r="H18" s="502" t="s">
        <v>37</v>
      </c>
      <c r="I18" s="502" t="e" vm="3">
        <v>#VALUE!</v>
      </c>
      <c r="J18" s="502" t="s">
        <v>134</v>
      </c>
      <c r="K18" s="502"/>
      <c r="L18" s="490">
        <v>45917</v>
      </c>
      <c r="M18" s="811" t="s">
        <v>135</v>
      </c>
      <c r="N18" s="503" t="s">
        <v>40</v>
      </c>
      <c r="O18" s="491">
        <v>1850</v>
      </c>
      <c r="P18" s="488" t="s">
        <v>41</v>
      </c>
      <c r="Q18" s="504">
        <f>IF(O18="NA","NA",(O18/C18))</f>
        <v>5.1034482758620693E-2</v>
      </c>
      <c r="R18" s="490" t="s">
        <v>42</v>
      </c>
      <c r="S18" s="492" t="s">
        <v>42</v>
      </c>
      <c r="T18" s="490">
        <v>45972</v>
      </c>
      <c r="U18" s="630" t="s">
        <v>43</v>
      </c>
      <c r="V18" s="490" t="s">
        <v>122</v>
      </c>
      <c r="W18" s="496" t="s">
        <v>45</v>
      </c>
      <c r="X18" s="497">
        <v>47125</v>
      </c>
      <c r="Y18" s="498" t="s">
        <v>46</v>
      </c>
      <c r="Z18" s="498" t="s">
        <v>41</v>
      </c>
      <c r="AA18" s="518"/>
      <c r="AB18" s="490"/>
      <c r="AC18" s="490"/>
      <c r="AD18" s="490" t="s">
        <v>54</v>
      </c>
      <c r="AE18" s="490"/>
      <c r="AF18" s="681"/>
      <c r="AG18" s="681"/>
      <c r="AH18" s="681"/>
      <c r="AI18" s="681"/>
      <c r="AJ18" s="681"/>
      <c r="AK18" s="681"/>
      <c r="AL18" s="681"/>
      <c r="AM18" s="681"/>
      <c r="AN18" s="681"/>
      <c r="AO18" s="681"/>
      <c r="AP18" s="681"/>
      <c r="AQ18" s="681"/>
      <c r="AR18" s="681"/>
      <c r="AS18" s="681"/>
      <c r="AT18" s="681"/>
      <c r="AU18" s="681"/>
      <c r="AV18" s="681"/>
      <c r="AW18" s="681"/>
      <c r="AX18" s="681"/>
      <c r="AY18" s="681"/>
    </row>
    <row r="19" spans="1:51" s="707" customFormat="1" ht="24.95" customHeight="1" x14ac:dyDescent="0.3">
      <c r="A19" s="551" t="s">
        <v>127</v>
      </c>
      <c r="B19" s="502">
        <v>31111</v>
      </c>
      <c r="C19" s="552">
        <f>22000*2.20462</f>
        <v>48501.639999999992</v>
      </c>
      <c r="D19" s="502" t="s">
        <v>48</v>
      </c>
      <c r="E19" s="502" t="s">
        <v>128</v>
      </c>
      <c r="F19" s="502" t="s">
        <v>129</v>
      </c>
      <c r="G19" s="502" t="s">
        <v>130</v>
      </c>
      <c r="H19" s="502" t="s">
        <v>51</v>
      </c>
      <c r="I19" s="502" t="e" vm="1">
        <v>#VALUE!</v>
      </c>
      <c r="J19" s="502" t="s">
        <v>53</v>
      </c>
      <c r="K19" s="502"/>
      <c r="L19" s="490">
        <v>45902</v>
      </c>
      <c r="M19" s="839"/>
      <c r="N19" s="503" t="s">
        <v>40</v>
      </c>
      <c r="O19" s="491">
        <f>IF(OR(H19="cif", H19="cfr"), 575, "INSERT VALUE HERE")</f>
        <v>575</v>
      </c>
      <c r="P19" s="488" t="str">
        <f>IF(O19=575,"CAD","INSERT CURRENCY")</f>
        <v>CAD</v>
      </c>
      <c r="Q19" s="504">
        <f>IF(O19="NA","NA",(O19/C19))</f>
        <v>1.185526922388604E-2</v>
      </c>
      <c r="R19" s="872" t="s">
        <v>42</v>
      </c>
      <c r="S19" s="504" t="s">
        <v>42</v>
      </c>
      <c r="T19" s="490">
        <v>45973</v>
      </c>
      <c r="U19" s="874" t="s">
        <v>43</v>
      </c>
      <c r="V19" s="490" t="s">
        <v>122</v>
      </c>
      <c r="W19" s="496" t="s">
        <v>45</v>
      </c>
      <c r="X19" s="557">
        <f>143550*0.5</f>
        <v>71775</v>
      </c>
      <c r="Y19" s="555" t="s">
        <v>46</v>
      </c>
      <c r="Z19" s="693" t="s">
        <v>80</v>
      </c>
      <c r="AA19" s="518"/>
      <c r="AB19" s="490"/>
      <c r="AC19" s="490"/>
      <c r="AD19" s="286"/>
      <c r="AE19" s="490"/>
      <c r="AF19" s="298"/>
      <c r="AG19" s="298"/>
      <c r="AH19" s="298"/>
      <c r="AI19" s="298"/>
      <c r="AJ19" s="298"/>
      <c r="AK19" s="298"/>
      <c r="AL19" s="298"/>
      <c r="AM19" s="298"/>
      <c r="AN19" s="298"/>
      <c r="AO19" s="298"/>
      <c r="AP19" s="298"/>
      <c r="AQ19" s="298"/>
      <c r="AR19" s="298"/>
      <c r="AS19" s="298"/>
      <c r="AT19" s="298"/>
      <c r="AU19" s="298"/>
      <c r="AV19" s="298"/>
      <c r="AW19" s="298"/>
      <c r="AX19" s="298"/>
      <c r="AY19" s="298"/>
    </row>
    <row r="20" spans="1:51" s="685" customFormat="1" ht="24.95" customHeight="1" x14ac:dyDescent="0.35">
      <c r="A20" s="587" t="s">
        <v>136</v>
      </c>
      <c r="B20" s="769" t="s">
        <v>137</v>
      </c>
      <c r="C20" s="489">
        <f>19200*2.20462</f>
        <v>42328.703999999998</v>
      </c>
      <c r="D20" s="488" t="s">
        <v>70</v>
      </c>
      <c r="E20" s="769" t="s">
        <v>138</v>
      </c>
      <c r="F20" s="488" t="s">
        <v>139</v>
      </c>
      <c r="G20" s="488" t="s">
        <v>36</v>
      </c>
      <c r="H20" s="488" t="s">
        <v>37</v>
      </c>
      <c r="I20" s="285" t="s">
        <v>97</v>
      </c>
      <c r="J20" s="488" t="s">
        <v>98</v>
      </c>
      <c r="K20" s="488"/>
      <c r="L20" s="490">
        <v>45944</v>
      </c>
      <c r="M20" s="490" t="s">
        <v>135</v>
      </c>
      <c r="N20" s="503" t="s">
        <v>40</v>
      </c>
      <c r="O20" s="491">
        <v>575</v>
      </c>
      <c r="P20" s="488" t="s">
        <v>80</v>
      </c>
      <c r="Q20" s="504">
        <f>IF(O20="NA","NA",(O20/C20))</f>
        <v>1.3584162652369419E-2</v>
      </c>
      <c r="R20" s="490" t="s">
        <v>42</v>
      </c>
      <c r="S20" s="495" t="s">
        <v>42</v>
      </c>
      <c r="T20" s="490">
        <v>45978</v>
      </c>
      <c r="U20" s="495" t="s">
        <v>43</v>
      </c>
      <c r="V20" s="490" t="s">
        <v>148</v>
      </c>
      <c r="W20" s="496" t="s">
        <v>45</v>
      </c>
      <c r="X20" s="497">
        <f>148800+19600</f>
        <v>168400</v>
      </c>
      <c r="Y20" s="498"/>
      <c r="Z20" s="498" t="s">
        <v>41</v>
      </c>
      <c r="AA20" s="498"/>
      <c r="AB20" s="490"/>
      <c r="AC20" s="490"/>
      <c r="AD20" s="501"/>
      <c r="AE20" s="490"/>
      <c r="AY20" s="876"/>
    </row>
    <row r="21" spans="1:51" s="707" customFormat="1" ht="23.25" customHeight="1" x14ac:dyDescent="0.35">
      <c r="A21" s="487" t="s">
        <v>140</v>
      </c>
      <c r="B21" s="488">
        <v>31833</v>
      </c>
      <c r="C21" s="489">
        <f>21000*2.20462</f>
        <v>46297.02</v>
      </c>
      <c r="D21" s="488" t="s">
        <v>70</v>
      </c>
      <c r="E21" s="769" t="s">
        <v>141</v>
      </c>
      <c r="F21" s="488" t="s">
        <v>142</v>
      </c>
      <c r="G21" s="488" t="s">
        <v>36</v>
      </c>
      <c r="H21" s="488" t="s">
        <v>51</v>
      </c>
      <c r="I21" s="684" t="s">
        <v>143</v>
      </c>
      <c r="J21" s="488" t="s">
        <v>144</v>
      </c>
      <c r="K21" s="488"/>
      <c r="L21" s="490">
        <v>45947</v>
      </c>
      <c r="M21" s="491" t="str">
        <f>IF(OR(H21="cif", H21="cfr"), "-", "INSERT NAME HERE")</f>
        <v>-</v>
      </c>
      <c r="N21" s="503" t="s">
        <v>40</v>
      </c>
      <c r="O21" s="491">
        <f>IF(OR(H21="cif", H21="cfr"), 575, "INSERT VALUE HERE")</f>
        <v>575</v>
      </c>
      <c r="P21" s="488" t="str">
        <f>IF(O21=575,"CAD","INSERT CURRENCY")</f>
        <v>CAD</v>
      </c>
      <c r="Q21" s="504">
        <f>IF(O21="NA","NA",(O21/C21))</f>
        <v>1.2419805853594897E-2</v>
      </c>
      <c r="R21" s="490" t="s">
        <v>42</v>
      </c>
      <c r="S21" s="495" t="s">
        <v>42</v>
      </c>
      <c r="T21" s="490">
        <v>45978</v>
      </c>
      <c r="U21" s="630" t="s">
        <v>43</v>
      </c>
      <c r="V21" s="490" t="s">
        <v>148</v>
      </c>
      <c r="W21" s="496" t="s">
        <v>45</v>
      </c>
      <c r="X21" s="841">
        <v>85680</v>
      </c>
      <c r="Y21" s="498" t="s">
        <v>46</v>
      </c>
      <c r="Z21" s="785" t="s">
        <v>145</v>
      </c>
      <c r="AA21" s="498"/>
      <c r="AB21" s="490">
        <v>45960</v>
      </c>
      <c r="AC21" s="490"/>
      <c r="AD21" s="501"/>
      <c r="AE21" s="490"/>
      <c r="AF21" s="298"/>
      <c r="AG21" s="298"/>
      <c r="AH21" s="298"/>
      <c r="AI21" s="298"/>
      <c r="AJ21" s="298"/>
      <c r="AK21" s="298"/>
      <c r="AL21" s="298"/>
      <c r="AM21" s="298"/>
      <c r="AN21" s="298"/>
      <c r="AO21" s="298"/>
      <c r="AP21" s="298"/>
      <c r="AQ21" s="298"/>
      <c r="AR21" s="298"/>
      <c r="AS21" s="298"/>
      <c r="AT21" s="298"/>
      <c r="AU21" s="298"/>
      <c r="AV21" s="298"/>
      <c r="AW21" s="298"/>
      <c r="AX21" s="298"/>
      <c r="AY21" s="298"/>
    </row>
    <row r="22" spans="1:51" s="413" customFormat="1" ht="23.25" customHeight="1" x14ac:dyDescent="0.35">
      <c r="A22" s="587" t="s">
        <v>69</v>
      </c>
      <c r="B22" s="488">
        <v>31657</v>
      </c>
      <c r="C22" s="489">
        <f>25000*2.20462</f>
        <v>55115.499999999993</v>
      </c>
      <c r="D22" s="488" t="s">
        <v>70</v>
      </c>
      <c r="E22" s="488" t="s">
        <v>146</v>
      </c>
      <c r="F22" s="488" t="s">
        <v>147</v>
      </c>
      <c r="G22" s="488" t="s">
        <v>73</v>
      </c>
      <c r="H22" s="488" t="s">
        <v>51</v>
      </c>
      <c r="I22" s="684" t="s">
        <v>74</v>
      </c>
      <c r="J22" s="488" t="s">
        <v>75</v>
      </c>
      <c r="K22" s="488"/>
      <c r="L22" s="490">
        <v>45942</v>
      </c>
      <c r="M22" s="491" t="str">
        <f>IF(OR(H22="cif", H22="cfr"), "-", "INSERT NAME HERE")</f>
        <v>-</v>
      </c>
      <c r="N22" s="503" t="s">
        <v>40</v>
      </c>
      <c r="O22" s="666">
        <v>575</v>
      </c>
      <c r="P22" s="488" t="str">
        <f>IF(O22=575,"CAD","INSERT CURRENCY")</f>
        <v>CAD</v>
      </c>
      <c r="Q22" s="504">
        <f>IF(O22="NA","NA",(O22/C22))</f>
        <v>1.0432636917019714E-2</v>
      </c>
      <c r="R22" s="548">
        <v>45972</v>
      </c>
      <c r="S22" s="550" t="s">
        <v>65</v>
      </c>
      <c r="T22" s="490">
        <v>45979</v>
      </c>
      <c r="U22" s="630" t="s">
        <v>76</v>
      </c>
      <c r="V22" s="490" t="s">
        <v>148</v>
      </c>
      <c r="W22" s="549" t="s">
        <v>45</v>
      </c>
      <c r="X22" s="557">
        <v>89250</v>
      </c>
      <c r="Y22" s="498" t="s">
        <v>46</v>
      </c>
      <c r="Z22" s="498" t="s">
        <v>41</v>
      </c>
      <c r="AA22" s="498"/>
      <c r="AB22" s="490"/>
      <c r="AC22" s="490"/>
      <c r="AD22" s="501"/>
      <c r="AE22" s="490"/>
      <c r="AF22" s="288"/>
      <c r="AG22" s="288"/>
      <c r="AH22" s="288"/>
      <c r="AI22" s="288"/>
      <c r="AJ22" s="288"/>
      <c r="AK22" s="288"/>
      <c r="AL22" s="288"/>
      <c r="AM22" s="288"/>
      <c r="AN22" s="288"/>
      <c r="AO22" s="288"/>
      <c r="AP22" s="288"/>
      <c r="AQ22" s="288"/>
      <c r="AR22" s="288"/>
      <c r="AS22" s="288"/>
      <c r="AT22" s="288"/>
      <c r="AU22" s="288"/>
      <c r="AV22" s="288"/>
      <c r="AW22" s="288"/>
      <c r="AX22" s="288"/>
      <c r="AY22" s="288"/>
    </row>
    <row r="23" spans="1:51" s="288" customFormat="1" ht="23.25" customHeight="1" x14ac:dyDescent="0.35">
      <c r="A23" s="587" t="s">
        <v>149</v>
      </c>
      <c r="B23" s="769">
        <v>31681</v>
      </c>
      <c r="C23" s="489">
        <f>(8000+2000)*2.20462</f>
        <v>22046.199999999997</v>
      </c>
      <c r="D23" s="488" t="s">
        <v>150</v>
      </c>
      <c r="E23" s="488" t="s">
        <v>151</v>
      </c>
      <c r="F23" s="488" t="s">
        <v>152</v>
      </c>
      <c r="G23" s="488" t="s">
        <v>108</v>
      </c>
      <c r="H23" s="488" t="s">
        <v>37</v>
      </c>
      <c r="I23" s="684" t="s">
        <v>97</v>
      </c>
      <c r="J23" s="488" t="s">
        <v>98</v>
      </c>
      <c r="K23" s="488"/>
      <c r="L23" s="490">
        <v>45938</v>
      </c>
      <c r="M23" s="490" t="s">
        <v>135</v>
      </c>
      <c r="N23" s="503" t="s">
        <v>40</v>
      </c>
      <c r="O23" s="491">
        <v>3400</v>
      </c>
      <c r="P23" s="488" t="s">
        <v>41</v>
      </c>
      <c r="Q23" s="504">
        <f>IF(O23="NA","NA",(O23/C23))</f>
        <v>0.15422158920811752</v>
      </c>
      <c r="R23" s="548" t="s">
        <v>42</v>
      </c>
      <c r="S23" s="527" t="s">
        <v>42</v>
      </c>
      <c r="T23" s="548">
        <v>45979</v>
      </c>
      <c r="U23" s="527" t="s">
        <v>43</v>
      </c>
      <c r="V23" s="490" t="s">
        <v>148</v>
      </c>
      <c r="W23" s="549" t="s">
        <v>45</v>
      </c>
      <c r="X23" s="497">
        <v>27900</v>
      </c>
      <c r="Y23" s="498"/>
      <c r="Z23" s="498" t="s">
        <v>41</v>
      </c>
      <c r="AA23" s="498"/>
      <c r="AB23" s="490"/>
      <c r="AC23" s="490"/>
      <c r="AD23" s="501"/>
      <c r="AE23" s="490"/>
    </row>
    <row r="24" spans="1:51" s="682" customFormat="1" ht="23.25" customHeight="1" x14ac:dyDescent="0.3">
      <c r="A24" s="587" t="s">
        <v>153</v>
      </c>
      <c r="B24" s="488">
        <v>30980</v>
      </c>
      <c r="C24" s="489">
        <f>20000*2.20462</f>
        <v>44092.399999999994</v>
      </c>
      <c r="D24" s="488" t="s">
        <v>94</v>
      </c>
      <c r="E24" s="488" t="s">
        <v>154</v>
      </c>
      <c r="F24" s="488" t="s">
        <v>155</v>
      </c>
      <c r="G24" s="488" t="s">
        <v>36</v>
      </c>
      <c r="H24" s="488" t="s">
        <v>51</v>
      </c>
      <c r="I24" s="684" t="e" vm="4">
        <v>#VALUE!</v>
      </c>
      <c r="J24" s="488" t="s">
        <v>156</v>
      </c>
      <c r="K24" s="488"/>
      <c r="L24" s="490">
        <v>45921</v>
      </c>
      <c r="M24" s="811" t="s">
        <v>42</v>
      </c>
      <c r="N24" s="503" t="s">
        <v>40</v>
      </c>
      <c r="O24" s="491">
        <f>IF(OR(H24="cif", H24="cfr"), 575, "INSERT VALUE HERE")</f>
        <v>575</v>
      </c>
      <c r="P24" s="488" t="str">
        <f>IF(O24=575,"CAD","INSERT CURRENCY")</f>
        <v>CAD</v>
      </c>
      <c r="Q24" s="492">
        <f>IF(O24="NA","NA",(O24/C24))</f>
        <v>1.3040796146274644E-2</v>
      </c>
      <c r="R24" s="490" t="s">
        <v>42</v>
      </c>
      <c r="S24" s="492" t="s">
        <v>42</v>
      </c>
      <c r="T24" s="490">
        <v>45982</v>
      </c>
      <c r="U24" s="630" t="s">
        <v>43</v>
      </c>
      <c r="V24" s="490" t="s">
        <v>157</v>
      </c>
      <c r="W24" s="496" t="s">
        <v>45</v>
      </c>
      <c r="X24" s="497">
        <v>46360</v>
      </c>
      <c r="Y24" s="498" t="s">
        <v>68</v>
      </c>
      <c r="Z24" s="498" t="s">
        <v>41</v>
      </c>
      <c r="AA24" s="498"/>
      <c r="AB24" s="490"/>
      <c r="AC24" s="827"/>
      <c r="AD24" s="490"/>
      <c r="AE24" s="490"/>
      <c r="AF24" s="681"/>
      <c r="AG24" s="681"/>
      <c r="AH24" s="681"/>
      <c r="AI24" s="681"/>
      <c r="AJ24" s="681"/>
      <c r="AK24" s="681"/>
      <c r="AL24" s="681"/>
      <c r="AM24" s="681"/>
      <c r="AN24" s="681"/>
      <c r="AO24" s="681"/>
      <c r="AP24" s="681"/>
      <c r="AQ24" s="681"/>
      <c r="AR24" s="681"/>
      <c r="AS24" s="681"/>
      <c r="AT24" s="681"/>
      <c r="AU24" s="681"/>
      <c r="AV24" s="681"/>
      <c r="AW24" s="681"/>
      <c r="AX24" s="681"/>
      <c r="AY24" s="681"/>
    </row>
    <row r="25" spans="1:51" s="288" customFormat="1" ht="23.25" customHeight="1" x14ac:dyDescent="0.3">
      <c r="A25" s="838" t="s">
        <v>47</v>
      </c>
      <c r="B25" s="522">
        <v>30187</v>
      </c>
      <c r="C25" s="521">
        <v>55000</v>
      </c>
      <c r="D25" s="522" t="s">
        <v>48</v>
      </c>
      <c r="E25" s="522" t="s">
        <v>49</v>
      </c>
      <c r="F25" s="522" t="s">
        <v>158</v>
      </c>
      <c r="G25" s="522" t="s">
        <v>36</v>
      </c>
      <c r="H25" s="522" t="s">
        <v>51</v>
      </c>
      <c r="I25" s="522" t="s">
        <v>52</v>
      </c>
      <c r="J25" s="488" t="s">
        <v>53</v>
      </c>
      <c r="K25" s="488"/>
      <c r="L25" s="490">
        <v>45950</v>
      </c>
      <c r="M25" s="490" t="str">
        <f>IF(OR(H25="cif", H25="cfr"), "-", "INSERT NAME HERE")</f>
        <v>-</v>
      </c>
      <c r="N25" s="503" t="s">
        <v>40</v>
      </c>
      <c r="O25" s="538">
        <f>IF(OR(H25="cif", H25="cfr"), 575, "INSERT VALUE HERE")</f>
        <v>575</v>
      </c>
      <c r="P25" s="488" t="str">
        <f>IF(O25=575,"CAD","INSERT CURRENCY")</f>
        <v>CAD</v>
      </c>
      <c r="Q25" s="519">
        <f>IF(O25="NA","NA",(O25/C25))</f>
        <v>1.0454545454545454E-2</v>
      </c>
      <c r="R25" s="490" t="s">
        <v>42</v>
      </c>
      <c r="S25" s="492" t="s">
        <v>42</v>
      </c>
      <c r="T25" s="490">
        <v>45984</v>
      </c>
      <c r="U25" s="495" t="s">
        <v>43</v>
      </c>
      <c r="V25" s="490" t="s">
        <v>157</v>
      </c>
      <c r="W25" s="496" t="s">
        <v>45</v>
      </c>
      <c r="X25" s="835">
        <v>29884.98</v>
      </c>
      <c r="Y25" s="498" t="s">
        <v>46</v>
      </c>
      <c r="Z25" s="498" t="s">
        <v>41</v>
      </c>
      <c r="AA25" s="767"/>
      <c r="AB25" s="490"/>
      <c r="AC25" s="828"/>
      <c r="AD25" s="692" t="s">
        <v>54</v>
      </c>
      <c r="AE25" s="846"/>
      <c r="AY25" s="413"/>
    </row>
    <row r="26" spans="1:51" s="288" customFormat="1" ht="24.95" customHeight="1" x14ac:dyDescent="0.35">
      <c r="A26" s="487" t="s">
        <v>131</v>
      </c>
      <c r="B26" s="488">
        <v>31880</v>
      </c>
      <c r="C26" s="489">
        <f>16443*2.20462</f>
        <v>36250.566659999997</v>
      </c>
      <c r="D26" s="488" t="s">
        <v>94</v>
      </c>
      <c r="E26" s="769" t="s">
        <v>159</v>
      </c>
      <c r="F26" s="488" t="s">
        <v>160</v>
      </c>
      <c r="G26" s="488" t="s">
        <v>108</v>
      </c>
      <c r="H26" s="488" t="s">
        <v>37</v>
      </c>
      <c r="I26" s="684" t="e" vm="3">
        <v>#VALUE!</v>
      </c>
      <c r="J26" s="502" t="s">
        <v>134</v>
      </c>
      <c r="K26" s="502"/>
      <c r="L26" s="490">
        <v>45955</v>
      </c>
      <c r="M26" s="491" t="s">
        <v>135</v>
      </c>
      <c r="N26" s="503" t="s">
        <v>40</v>
      </c>
      <c r="O26" s="491">
        <v>575</v>
      </c>
      <c r="P26" s="488" t="str">
        <f>IF(O26=575,"CAD","INSERT CURRENCY")</f>
        <v>CAD</v>
      </c>
      <c r="Q26" s="504">
        <f>IF(O26="NA","NA",(O26/C26))</f>
        <v>1.586182101353116E-2</v>
      </c>
      <c r="R26" s="490"/>
      <c r="S26" s="495"/>
      <c r="T26" s="490">
        <v>45985</v>
      </c>
      <c r="U26" s="505" t="s">
        <v>43</v>
      </c>
      <c r="V26" s="490" t="s">
        <v>157</v>
      </c>
      <c r="W26" s="549" t="s">
        <v>45</v>
      </c>
      <c r="X26" s="497">
        <v>107375</v>
      </c>
      <c r="Y26" s="498"/>
      <c r="Z26" s="498" t="s">
        <v>41</v>
      </c>
      <c r="AA26" s="498"/>
      <c r="AB26" s="490"/>
      <c r="AC26" s="827"/>
      <c r="AD26" s="501"/>
      <c r="AE26" s="286"/>
    </row>
    <row r="27" spans="1:51" s="413" customFormat="1" ht="24.95" customHeight="1" x14ac:dyDescent="0.35">
      <c r="A27" s="587" t="s">
        <v>161</v>
      </c>
      <c r="B27" s="488">
        <v>31066</v>
      </c>
      <c r="C27" s="489">
        <f>24948*2.20462</f>
        <v>55000.859759999992</v>
      </c>
      <c r="D27" s="488" t="s">
        <v>33</v>
      </c>
      <c r="E27" s="488" t="s">
        <v>162</v>
      </c>
      <c r="F27" s="488" t="s">
        <v>163</v>
      </c>
      <c r="G27" s="488" t="s">
        <v>36</v>
      </c>
      <c r="H27" s="488" t="s">
        <v>164</v>
      </c>
      <c r="I27" s="488" t="s">
        <v>165</v>
      </c>
      <c r="J27" s="488" t="s">
        <v>166</v>
      </c>
      <c r="K27" s="488"/>
      <c r="L27" s="490">
        <v>45917</v>
      </c>
      <c r="M27" s="811" t="s">
        <v>39</v>
      </c>
      <c r="N27" s="488" t="s">
        <v>40</v>
      </c>
      <c r="O27" s="491">
        <v>4500</v>
      </c>
      <c r="P27" s="488" t="s">
        <v>41</v>
      </c>
      <c r="Q27" s="492">
        <f>IF(O27="NA","NA",(O27/C27))</f>
        <v>8.1816902856356385E-2</v>
      </c>
      <c r="R27" s="490">
        <v>45976</v>
      </c>
      <c r="S27" s="492" t="s">
        <v>65</v>
      </c>
      <c r="T27" s="490">
        <f>R27+10</f>
        <v>45986</v>
      </c>
      <c r="U27" s="495" t="s">
        <v>167</v>
      </c>
      <c r="V27" s="490" t="s">
        <v>148</v>
      </c>
      <c r="W27" s="549" t="s">
        <v>45</v>
      </c>
      <c r="X27" s="497">
        <v>102036</v>
      </c>
      <c r="Y27" s="498" t="s">
        <v>68</v>
      </c>
      <c r="Z27" s="498" t="s">
        <v>41</v>
      </c>
      <c r="AA27" s="535"/>
      <c r="AB27" s="490"/>
      <c r="AC27" s="828"/>
      <c r="AD27" s="739"/>
      <c r="AE27" s="792"/>
      <c r="AF27" s="288"/>
      <c r="AG27" s="288"/>
      <c r="AH27" s="288"/>
      <c r="AI27" s="288"/>
      <c r="AJ27" s="288"/>
      <c r="AK27" s="288"/>
      <c r="AL27" s="288"/>
      <c r="AM27" s="288"/>
      <c r="AN27" s="288"/>
      <c r="AO27" s="288"/>
      <c r="AP27" s="288"/>
      <c r="AQ27" s="288"/>
      <c r="AR27" s="288"/>
      <c r="AS27" s="288"/>
      <c r="AT27" s="288"/>
      <c r="AU27" s="288"/>
      <c r="AV27" s="288"/>
      <c r="AW27" s="288"/>
      <c r="AX27" s="288"/>
      <c r="AY27" s="288"/>
    </row>
    <row r="28" spans="1:51" s="288" customFormat="1" ht="24.95" customHeight="1" x14ac:dyDescent="0.3">
      <c r="A28" s="487" t="s">
        <v>47</v>
      </c>
      <c r="B28" s="488">
        <v>30188</v>
      </c>
      <c r="C28" s="489">
        <v>55000</v>
      </c>
      <c r="D28" s="488" t="s">
        <v>48</v>
      </c>
      <c r="E28" s="488" t="s">
        <v>49</v>
      </c>
      <c r="F28" s="488" t="s">
        <v>173</v>
      </c>
      <c r="G28" s="488" t="s">
        <v>36</v>
      </c>
      <c r="H28" s="488" t="s">
        <v>51</v>
      </c>
      <c r="I28" s="488" t="s">
        <v>52</v>
      </c>
      <c r="J28" s="488" t="s">
        <v>53</v>
      </c>
      <c r="K28" s="488"/>
      <c r="L28" s="490">
        <v>45951</v>
      </c>
      <c r="M28" s="490" t="str">
        <f>IF(OR(H28="cif", H28="cfr"), "-", "INSERT NAME HERE")</f>
        <v>-</v>
      </c>
      <c r="N28" s="503" t="s">
        <v>40</v>
      </c>
      <c r="O28" s="491">
        <f>IF(OR(H28="cif", H28="cfr"), 575, "INSERT VALUE HERE")</f>
        <v>575</v>
      </c>
      <c r="P28" s="488" t="str">
        <f>IF(O28=575,"CAD","INSERT CURRENCY")</f>
        <v>CAD</v>
      </c>
      <c r="Q28" s="519">
        <f>IF(O28="NA","NA",(O28/C28))</f>
        <v>1.0454545454545454E-2</v>
      </c>
      <c r="R28" s="548" t="s">
        <v>42</v>
      </c>
      <c r="S28" s="550" t="s">
        <v>42</v>
      </c>
      <c r="T28" s="548">
        <v>45986</v>
      </c>
      <c r="U28" s="527" t="s">
        <v>43</v>
      </c>
      <c r="V28" s="490" t="s">
        <v>174</v>
      </c>
      <c r="W28" s="549" t="s">
        <v>45</v>
      </c>
      <c r="X28" s="536">
        <v>29879</v>
      </c>
      <c r="Y28" s="498" t="s">
        <v>46</v>
      </c>
      <c r="Z28" s="498" t="s">
        <v>41</v>
      </c>
      <c r="AA28" s="693"/>
      <c r="AB28" s="490"/>
      <c r="AC28" s="490"/>
      <c r="AD28" s="692" t="s">
        <v>54</v>
      </c>
      <c r="AE28" s="286"/>
    </row>
    <row r="29" spans="1:51" s="288" customFormat="1" ht="24.95" customHeight="1" x14ac:dyDescent="0.35">
      <c r="A29" s="487" t="s">
        <v>175</v>
      </c>
      <c r="B29" s="488">
        <v>31826</v>
      </c>
      <c r="C29" s="489">
        <f>20500*2.20462</f>
        <v>45194.71</v>
      </c>
      <c r="D29" s="488" t="s">
        <v>70</v>
      </c>
      <c r="E29" s="769" t="s">
        <v>176</v>
      </c>
      <c r="F29" s="488" t="s">
        <v>177</v>
      </c>
      <c r="G29" s="488" t="s">
        <v>130</v>
      </c>
      <c r="H29" s="488" t="s">
        <v>37</v>
      </c>
      <c r="I29" s="684" t="e" vm="5">
        <v>#VALUE!</v>
      </c>
      <c r="J29" s="488" t="s">
        <v>75</v>
      </c>
      <c r="K29" s="488"/>
      <c r="L29" s="490">
        <v>45953</v>
      </c>
      <c r="M29" s="491" t="str">
        <f>IF(OR(H29="cif", H29="cfr"), "-", "INSERT NAME HERE")</f>
        <v>INSERT NAME HERE</v>
      </c>
      <c r="N29" s="503" t="s">
        <v>40</v>
      </c>
      <c r="O29" s="491" t="str">
        <f>IF(OR(H29="cif", H29="cfr"), 575, "INSERT VALUE HERE")</f>
        <v>INSERT VALUE HERE</v>
      </c>
      <c r="P29" s="488" t="str">
        <f>IF(O29=575,"CAD","INSERT CURRENCY")</f>
        <v>INSERT CURRENCY</v>
      </c>
      <c r="Q29" s="504" t="s">
        <v>64</v>
      </c>
      <c r="R29" s="548">
        <v>45980</v>
      </c>
      <c r="S29" s="527" t="s">
        <v>65</v>
      </c>
      <c r="T29" s="548">
        <f>R29+10</f>
        <v>45990</v>
      </c>
      <c r="U29" s="527" t="s">
        <v>178</v>
      </c>
      <c r="V29" s="490" t="s">
        <v>148</v>
      </c>
      <c r="W29" s="549" t="s">
        <v>45</v>
      </c>
      <c r="X29" s="536">
        <v>41000</v>
      </c>
      <c r="Y29" s="498" t="s">
        <v>46</v>
      </c>
      <c r="Z29" s="498" t="s">
        <v>41</v>
      </c>
      <c r="AA29" s="498"/>
      <c r="AB29" s="490"/>
      <c r="AC29" s="490"/>
      <c r="AD29" s="501"/>
      <c r="AE29" s="286"/>
    </row>
    <row r="30" spans="1:51" s="288" customFormat="1" ht="24.95" customHeight="1" x14ac:dyDescent="0.35">
      <c r="A30" s="587" t="s">
        <v>168</v>
      </c>
      <c r="B30" s="488">
        <v>31778</v>
      </c>
      <c r="C30" s="489">
        <f>18300*2.20462</f>
        <v>40344.545999999995</v>
      </c>
      <c r="D30" s="488" t="s">
        <v>94</v>
      </c>
      <c r="E30" s="769" t="s">
        <v>169</v>
      </c>
      <c r="F30" s="488" t="s">
        <v>170</v>
      </c>
      <c r="G30" s="488" t="s">
        <v>108</v>
      </c>
      <c r="H30" s="488" t="s">
        <v>109</v>
      </c>
      <c r="I30" s="684" t="s">
        <v>52</v>
      </c>
      <c r="J30" s="488" t="s">
        <v>171</v>
      </c>
      <c r="K30" s="488"/>
      <c r="L30" s="490">
        <v>45944</v>
      </c>
      <c r="M30" s="491" t="str">
        <f>IF(OR(H30="cif", H30="cfr"), "-", "INSERT NAME HERE")</f>
        <v>-</v>
      </c>
      <c r="N30" s="503" t="s">
        <v>40</v>
      </c>
      <c r="O30" s="491">
        <f>IF(OR(H30="cif", H30="cfr"), 575, "INSERT VALUE HERE")</f>
        <v>575</v>
      </c>
      <c r="P30" s="488" t="str">
        <f>IF(O30=575,"CAD","INSERT CURRENCY")</f>
        <v>CAD</v>
      </c>
      <c r="Q30" s="504">
        <f>IF(O30="NA","NA",(O30/C30))</f>
        <v>1.4252236225436768E-2</v>
      </c>
      <c r="R30" s="548" t="s">
        <v>42</v>
      </c>
      <c r="S30" s="527" t="s">
        <v>42</v>
      </c>
      <c r="T30" s="548">
        <v>45992</v>
      </c>
      <c r="U30" s="527" t="s">
        <v>43</v>
      </c>
      <c r="V30" s="490" t="s">
        <v>157</v>
      </c>
      <c r="W30" s="496" t="s">
        <v>45</v>
      </c>
      <c r="X30" s="497">
        <v>21620</v>
      </c>
      <c r="Y30" s="498" t="s">
        <v>46</v>
      </c>
      <c r="Z30" s="498" t="s">
        <v>41</v>
      </c>
      <c r="AA30" s="498"/>
      <c r="AB30" s="490"/>
      <c r="AC30" s="827"/>
      <c r="AD30" s="501"/>
      <c r="AE30" s="792"/>
    </row>
    <row r="31" spans="1:51" s="288" customFormat="1" ht="23.25" customHeight="1" x14ac:dyDescent="0.35">
      <c r="A31" s="587" t="s">
        <v>161</v>
      </c>
      <c r="B31" s="488">
        <v>31067</v>
      </c>
      <c r="C31" s="489">
        <v>55000</v>
      </c>
      <c r="D31" s="488" t="s">
        <v>33</v>
      </c>
      <c r="E31" s="488" t="s">
        <v>162</v>
      </c>
      <c r="F31" s="488" t="s">
        <v>172</v>
      </c>
      <c r="G31" s="488" t="s">
        <v>36</v>
      </c>
      <c r="H31" s="488" t="s">
        <v>164</v>
      </c>
      <c r="I31" s="488" t="s">
        <v>165</v>
      </c>
      <c r="J31" s="488" t="s">
        <v>166</v>
      </c>
      <c r="K31" s="488"/>
      <c r="L31" s="490">
        <v>45938</v>
      </c>
      <c r="M31" s="490" t="s">
        <v>39</v>
      </c>
      <c r="N31" s="488" t="s">
        <v>40</v>
      </c>
      <c r="O31" s="491">
        <v>3700</v>
      </c>
      <c r="P31" s="488" t="s">
        <v>41</v>
      </c>
      <c r="Q31" s="492">
        <f>IF(O31="NA","NA",(O31/C31))</f>
        <v>6.7272727272727276E-2</v>
      </c>
      <c r="R31" s="548">
        <v>45982</v>
      </c>
      <c r="S31" s="550" t="s">
        <v>65</v>
      </c>
      <c r="T31" s="548">
        <f>R31+10</f>
        <v>45992</v>
      </c>
      <c r="U31" s="527" t="s">
        <v>167</v>
      </c>
      <c r="V31" s="490" t="s">
        <v>148</v>
      </c>
      <c r="W31" s="496" t="s">
        <v>45</v>
      </c>
      <c r="X31" s="497">
        <v>101530</v>
      </c>
      <c r="Y31" s="498" t="s">
        <v>68</v>
      </c>
      <c r="Z31" s="498" t="s">
        <v>41</v>
      </c>
      <c r="AA31" s="498"/>
      <c r="AB31" s="490"/>
      <c r="AC31" s="490"/>
      <c r="AD31" s="873"/>
      <c r="AE31" s="490" t="s">
        <v>64</v>
      </c>
      <c r="AF31" s="413"/>
      <c r="AG31" s="413"/>
      <c r="AH31" s="413"/>
      <c r="AI31" s="413"/>
      <c r="AJ31" s="413"/>
      <c r="AK31" s="413"/>
      <c r="AL31" s="413"/>
      <c r="AM31" s="413"/>
      <c r="AN31" s="413"/>
      <c r="AO31" s="413"/>
      <c r="AP31" s="413"/>
      <c r="AQ31" s="413"/>
      <c r="AR31" s="413"/>
      <c r="AS31" s="413"/>
      <c r="AT31" s="413"/>
      <c r="AU31" s="413"/>
      <c r="AV31" s="413"/>
      <c r="AW31" s="413"/>
      <c r="AX31" s="413"/>
      <c r="AY31" s="413"/>
    </row>
    <row r="32" spans="1:51" s="288" customFormat="1" ht="24.95" customHeight="1" x14ac:dyDescent="0.35">
      <c r="A32" s="587" t="s">
        <v>179</v>
      </c>
      <c r="B32" s="488">
        <v>31577</v>
      </c>
      <c r="C32" s="489">
        <f>16000*2.20462</f>
        <v>35273.919999999998</v>
      </c>
      <c r="D32" s="488" t="s">
        <v>94</v>
      </c>
      <c r="E32" s="488" t="s">
        <v>180</v>
      </c>
      <c r="F32" s="488" t="s">
        <v>181</v>
      </c>
      <c r="G32" s="488" t="s">
        <v>36</v>
      </c>
      <c r="H32" s="502" t="s">
        <v>37</v>
      </c>
      <c r="I32" s="502" t="s">
        <v>182</v>
      </c>
      <c r="J32" s="502" t="s">
        <v>183</v>
      </c>
      <c r="K32" s="502"/>
      <c r="L32" s="490">
        <v>45975</v>
      </c>
      <c r="M32" s="490" t="s">
        <v>184</v>
      </c>
      <c r="N32" s="488" t="s">
        <v>40</v>
      </c>
      <c r="O32" s="491">
        <v>3220</v>
      </c>
      <c r="P32" s="488" t="s">
        <v>41</v>
      </c>
      <c r="Q32" s="492">
        <f>IF(O32="NA","NA",(O32/C32))</f>
        <v>9.1285573023922498E-2</v>
      </c>
      <c r="R32" s="548">
        <v>45982</v>
      </c>
      <c r="S32" s="550" t="s">
        <v>65</v>
      </c>
      <c r="T32" s="490">
        <f>R32+10</f>
        <v>45992</v>
      </c>
      <c r="U32" s="527" t="s">
        <v>167</v>
      </c>
      <c r="V32" s="490" t="s">
        <v>174</v>
      </c>
      <c r="W32" s="549" t="s">
        <v>45</v>
      </c>
      <c r="X32" s="536">
        <v>101530</v>
      </c>
      <c r="Y32" s="498" t="s">
        <v>68</v>
      </c>
      <c r="Z32" s="498" t="s">
        <v>41</v>
      </c>
      <c r="AA32" s="498"/>
      <c r="AB32" s="490"/>
      <c r="AC32" s="490"/>
      <c r="AD32" s="739"/>
      <c r="AE32" s="490"/>
    </row>
    <row r="33" spans="1:51" s="288" customFormat="1" ht="23.25" x14ac:dyDescent="0.35">
      <c r="A33" s="487" t="s">
        <v>193</v>
      </c>
      <c r="B33" s="488">
        <v>31981</v>
      </c>
      <c r="C33" s="489">
        <f>26350*2.20462</f>
        <v>58091.736999999994</v>
      </c>
      <c r="D33" s="488" t="s">
        <v>48</v>
      </c>
      <c r="E33" s="488" t="s">
        <v>194</v>
      </c>
      <c r="F33" s="488" t="s">
        <v>195</v>
      </c>
      <c r="G33" s="488" t="s">
        <v>119</v>
      </c>
      <c r="H33" s="488" t="s">
        <v>109</v>
      </c>
      <c r="I33" s="684" t="s">
        <v>74</v>
      </c>
      <c r="J33" s="488" t="s">
        <v>75</v>
      </c>
      <c r="K33" s="488"/>
      <c r="L33" s="490">
        <v>45954</v>
      </c>
      <c r="M33" s="490" t="str">
        <f>IF(OR(H33="cif", H33="cfr"), "-", "INSERT NAME HERE")</f>
        <v>-</v>
      </c>
      <c r="N33" s="503" t="s">
        <v>40</v>
      </c>
      <c r="O33" s="491">
        <f>IF(OR(H33="cif", H33="cfr"), 575, "INSERT VALUE HERE")</f>
        <v>575</v>
      </c>
      <c r="P33" s="488" t="str">
        <f>IF(O33=575,"CAD","INSERT CURRENCY")</f>
        <v>CAD</v>
      </c>
      <c r="Q33" s="504">
        <f>IF(O33="NA","NA",(O33/C33))</f>
        <v>9.8981374924285714E-3</v>
      </c>
      <c r="R33" s="490">
        <v>45987</v>
      </c>
      <c r="S33" s="519" t="s">
        <v>65</v>
      </c>
      <c r="T33" s="490">
        <f>R33+10</f>
        <v>45997</v>
      </c>
      <c r="U33" s="505" t="s">
        <v>76</v>
      </c>
      <c r="V33" s="490" t="s">
        <v>192</v>
      </c>
      <c r="W33" s="549" t="s">
        <v>45</v>
      </c>
      <c r="X33" s="557">
        <f>59287.5*0.8</f>
        <v>47430</v>
      </c>
      <c r="Y33" s="498"/>
      <c r="Z33" s="498" t="s">
        <v>41</v>
      </c>
      <c r="AA33" s="535"/>
      <c r="AB33" s="490"/>
      <c r="AC33" s="506"/>
      <c r="AD33" s="753"/>
      <c r="AE33" s="754"/>
    </row>
    <row r="34" spans="1:51" s="682" customFormat="1" ht="24.95" customHeight="1" x14ac:dyDescent="0.35">
      <c r="A34" s="551" t="s">
        <v>189</v>
      </c>
      <c r="B34" s="502">
        <v>27806</v>
      </c>
      <c r="C34" s="552">
        <v>58000</v>
      </c>
      <c r="D34" s="502" t="s">
        <v>48</v>
      </c>
      <c r="E34" s="502" t="s">
        <v>190</v>
      </c>
      <c r="F34" s="502" t="s">
        <v>191</v>
      </c>
      <c r="G34" s="502" t="s">
        <v>119</v>
      </c>
      <c r="H34" s="502" t="s">
        <v>109</v>
      </c>
      <c r="I34" s="502" t="s">
        <v>52</v>
      </c>
      <c r="J34" s="502" t="s">
        <v>75</v>
      </c>
      <c r="K34" s="502"/>
      <c r="L34" s="490">
        <v>45953</v>
      </c>
      <c r="M34" s="491" t="str">
        <f>IF(OR(H34="cif", H34="cfr", H34="dap"), "-", "INSERT NAME HERE")</f>
        <v>-</v>
      </c>
      <c r="N34" s="488" t="s">
        <v>40</v>
      </c>
      <c r="O34" s="491">
        <f>IF(OR(H34="cif", H34="cfr"), 575, "INSERT VALUE HERE")</f>
        <v>575</v>
      </c>
      <c r="P34" s="502" t="str">
        <f>IF(O34=575,"CAD","INSERT CURRENCY")</f>
        <v>CAD</v>
      </c>
      <c r="Q34" s="519">
        <f>IF(O34="NA","NA",(O34/C34))</f>
        <v>9.9137931034482766E-3</v>
      </c>
      <c r="R34" s="490">
        <v>45988</v>
      </c>
      <c r="S34" s="519" t="s">
        <v>65</v>
      </c>
      <c r="T34" s="553">
        <f>R34+10</f>
        <v>45998</v>
      </c>
      <c r="U34" s="807" t="s">
        <v>76</v>
      </c>
      <c r="V34" s="490" t="s">
        <v>192</v>
      </c>
      <c r="W34" s="496" t="s">
        <v>45</v>
      </c>
      <c r="X34" s="557">
        <f>49970</f>
        <v>49970</v>
      </c>
      <c r="Y34" s="498" t="s">
        <v>46</v>
      </c>
      <c r="Z34" s="707"/>
      <c r="AA34" s="693"/>
      <c r="AB34" s="490"/>
      <c r="AC34" s="827"/>
      <c r="AD34" s="501"/>
      <c r="AE34" s="396"/>
      <c r="AF34" s="681"/>
      <c r="AG34" s="681"/>
      <c r="AH34" s="681"/>
      <c r="AI34" s="681"/>
      <c r="AJ34" s="681"/>
      <c r="AK34" s="681"/>
      <c r="AL34" s="681"/>
      <c r="AM34" s="681"/>
      <c r="AN34" s="681"/>
      <c r="AO34" s="681"/>
      <c r="AP34" s="681"/>
      <c r="AQ34" s="681"/>
      <c r="AR34" s="681"/>
      <c r="AS34" s="681"/>
      <c r="AT34" s="681"/>
      <c r="AU34" s="681"/>
      <c r="AV34" s="681"/>
      <c r="AW34" s="681"/>
      <c r="AX34" s="681"/>
      <c r="AY34" s="681"/>
    </row>
    <row r="35" spans="1:51" s="413" customFormat="1" ht="23.25" customHeight="1" x14ac:dyDescent="0.35">
      <c r="A35" s="838" t="s">
        <v>196</v>
      </c>
      <c r="B35" s="522">
        <v>31766</v>
      </c>
      <c r="C35" s="521">
        <f>50*700</f>
        <v>35000</v>
      </c>
      <c r="D35" s="522" t="s">
        <v>94</v>
      </c>
      <c r="E35" s="778" t="s">
        <v>197</v>
      </c>
      <c r="F35" s="522" t="s">
        <v>198</v>
      </c>
      <c r="G35" s="522" t="s">
        <v>36</v>
      </c>
      <c r="H35" s="522" t="s">
        <v>37</v>
      </c>
      <c r="I35" s="779" t="e" vm="2">
        <v>#VALUE!</v>
      </c>
      <c r="J35" s="537" t="s">
        <v>120</v>
      </c>
      <c r="K35" s="537"/>
      <c r="L35" s="506">
        <v>45960</v>
      </c>
      <c r="M35" s="538" t="s">
        <v>199</v>
      </c>
      <c r="N35" s="819" t="s">
        <v>40</v>
      </c>
      <c r="O35" s="538">
        <v>3320</v>
      </c>
      <c r="P35" s="522" t="s">
        <v>41</v>
      </c>
      <c r="Q35" s="504">
        <f>IF(O35="NA","NA",(O35/C35))</f>
        <v>9.4857142857142862E-2</v>
      </c>
      <c r="R35" s="490">
        <v>45990</v>
      </c>
      <c r="S35" s="495" t="s">
        <v>65</v>
      </c>
      <c r="T35" s="490">
        <f>R35+10</f>
        <v>46000</v>
      </c>
      <c r="U35" s="495" t="s">
        <v>167</v>
      </c>
      <c r="V35" s="490" t="s">
        <v>192</v>
      </c>
      <c r="W35" s="496" t="s">
        <v>45</v>
      </c>
      <c r="X35" s="497">
        <v>105000</v>
      </c>
      <c r="Y35" s="498"/>
      <c r="Z35" s="498" t="s">
        <v>41</v>
      </c>
      <c r="AA35" s="535"/>
      <c r="AB35" s="535"/>
      <c r="AC35" s="828"/>
      <c r="AD35" s="501"/>
      <c r="AE35" s="826"/>
      <c r="AF35" s="288"/>
      <c r="AG35" s="288"/>
      <c r="AH35" s="288"/>
      <c r="AI35" s="288"/>
      <c r="AJ35" s="288"/>
      <c r="AK35" s="288"/>
      <c r="AL35" s="288"/>
      <c r="AM35" s="288"/>
      <c r="AN35" s="288"/>
      <c r="AO35" s="288"/>
      <c r="AP35" s="288"/>
      <c r="AQ35" s="288"/>
      <c r="AR35" s="288"/>
      <c r="AS35" s="288"/>
      <c r="AT35" s="288"/>
      <c r="AU35" s="288"/>
      <c r="AV35" s="288"/>
      <c r="AW35" s="288"/>
      <c r="AX35" s="288"/>
      <c r="AY35" s="288"/>
    </row>
    <row r="36" spans="1:51" s="413" customFormat="1" ht="24.95" customHeight="1" x14ac:dyDescent="0.35">
      <c r="A36" s="587" t="s">
        <v>207</v>
      </c>
      <c r="B36" s="488">
        <v>31975</v>
      </c>
      <c r="C36" s="489">
        <f>22000*2.20462</f>
        <v>48501.639999999992</v>
      </c>
      <c r="D36" s="488" t="s">
        <v>70</v>
      </c>
      <c r="E36" s="488" t="s">
        <v>208</v>
      </c>
      <c r="F36" s="488" t="s">
        <v>209</v>
      </c>
      <c r="G36" s="488" t="s">
        <v>130</v>
      </c>
      <c r="H36" s="488" t="s">
        <v>109</v>
      </c>
      <c r="I36" s="684" t="s">
        <v>74</v>
      </c>
      <c r="J36" s="488" t="s">
        <v>75</v>
      </c>
      <c r="K36" s="488"/>
      <c r="L36" s="490">
        <v>45961</v>
      </c>
      <c r="M36" s="490" t="str">
        <f>IF(OR(H36="cif", H36="cfr"), "-", "INSERT NAME HERE")</f>
        <v>-</v>
      </c>
      <c r="N36" s="503" t="s">
        <v>40</v>
      </c>
      <c r="O36" s="491">
        <f>IF(OR(H36="cif", H36="cfr"), 575, "INSERT VALUE HERE")</f>
        <v>575</v>
      </c>
      <c r="P36" s="488" t="str">
        <f>IF(O36=575,"CAD","INSERT CURRENCY")</f>
        <v>CAD</v>
      </c>
      <c r="Q36" s="504">
        <f>IF(O36="NA","NA",(O36/C36))</f>
        <v>1.185526922388604E-2</v>
      </c>
      <c r="R36" s="548">
        <v>45991</v>
      </c>
      <c r="S36" s="550" t="s">
        <v>65</v>
      </c>
      <c r="T36" s="548">
        <v>46001</v>
      </c>
      <c r="U36" s="630" t="s">
        <v>43</v>
      </c>
      <c r="V36" s="490" t="s">
        <v>192</v>
      </c>
      <c r="W36" s="496" t="s">
        <v>45</v>
      </c>
      <c r="X36" s="557">
        <v>48840</v>
      </c>
      <c r="Y36" s="498"/>
      <c r="Z36" s="579" t="s">
        <v>41</v>
      </c>
      <c r="AA36" s="498"/>
      <c r="AB36" s="498"/>
      <c r="AC36" s="827"/>
      <c r="AD36" s="501"/>
      <c r="AE36" s="396"/>
      <c r="AF36" s="288"/>
      <c r="AG36" s="288"/>
      <c r="AH36" s="288"/>
      <c r="AI36" s="288"/>
      <c r="AJ36" s="288"/>
      <c r="AK36" s="288"/>
      <c r="AL36" s="288"/>
      <c r="AM36" s="288"/>
      <c r="AN36" s="288"/>
      <c r="AO36" s="288"/>
      <c r="AP36" s="288"/>
      <c r="AQ36" s="288"/>
      <c r="AR36" s="288"/>
      <c r="AS36" s="288"/>
      <c r="AT36" s="288"/>
      <c r="AU36" s="288"/>
      <c r="AV36" s="288"/>
      <c r="AW36" s="288"/>
      <c r="AX36" s="288"/>
      <c r="AY36" s="288"/>
    </row>
    <row r="37" spans="1:51" s="413" customFormat="1" ht="24.95" customHeight="1" x14ac:dyDescent="0.3">
      <c r="A37" s="777" t="s">
        <v>185</v>
      </c>
      <c r="B37" s="522">
        <v>31631</v>
      </c>
      <c r="C37" s="489">
        <f>20000*2.20462</f>
        <v>44092.399999999994</v>
      </c>
      <c r="D37" s="522" t="s">
        <v>70</v>
      </c>
      <c r="E37" s="522" t="s">
        <v>186</v>
      </c>
      <c r="F37" s="522" t="s">
        <v>187</v>
      </c>
      <c r="G37" s="522" t="s">
        <v>36</v>
      </c>
      <c r="H37" s="522" t="s">
        <v>109</v>
      </c>
      <c r="I37" s="779" t="e" vm="1">
        <v>#VALUE!</v>
      </c>
      <c r="J37" s="522" t="s">
        <v>53</v>
      </c>
      <c r="K37" s="522"/>
      <c r="L37" s="506">
        <v>45929</v>
      </c>
      <c r="M37" s="538" t="str">
        <f>IF(OR(H37="cif", H37="cfr", H37="dap"), "-", "INSERT NAME HERE")</f>
        <v>-</v>
      </c>
      <c r="N37" s="819" t="s">
        <v>40</v>
      </c>
      <c r="O37" s="538">
        <f>IF(OR(H37="cif", H37="cfr", H37="dap"), 575, "INSERT VALUE HERE")</f>
        <v>575</v>
      </c>
      <c r="P37" s="522" t="str">
        <f>IF(O37=575,"CAD","INSERT CURRENCY")</f>
        <v>CAD</v>
      </c>
      <c r="Q37" s="504">
        <f>IF(O37="NA","NA",(O37/C37))</f>
        <v>1.3040796146274644E-2</v>
      </c>
      <c r="R37" s="490" t="s">
        <v>42</v>
      </c>
      <c r="S37" s="492" t="s">
        <v>42</v>
      </c>
      <c r="T37" s="490">
        <v>46003</v>
      </c>
      <c r="U37" s="505" t="s">
        <v>43</v>
      </c>
      <c r="V37" s="490" t="s">
        <v>174</v>
      </c>
      <c r="W37" s="549" t="s">
        <v>45</v>
      </c>
      <c r="X37" s="497">
        <f>17000*0.7</f>
        <v>11900</v>
      </c>
      <c r="Y37" s="498" t="s">
        <v>68</v>
      </c>
      <c r="Z37" s="498" t="s">
        <v>41</v>
      </c>
      <c r="AA37" s="814"/>
      <c r="AB37" s="506"/>
      <c r="AC37" s="828"/>
      <c r="AD37" s="490"/>
      <c r="AE37" s="846"/>
      <c r="AF37" s="288"/>
      <c r="AG37" s="288"/>
      <c r="AH37" s="288"/>
      <c r="AI37" s="288"/>
      <c r="AJ37" s="288"/>
      <c r="AK37" s="288"/>
      <c r="AL37" s="288"/>
      <c r="AM37" s="288"/>
      <c r="AN37" s="288"/>
      <c r="AO37" s="288"/>
      <c r="AP37" s="288"/>
      <c r="AQ37" s="288"/>
      <c r="AR37" s="288"/>
      <c r="AS37" s="288"/>
      <c r="AT37" s="288"/>
      <c r="AU37" s="288"/>
      <c r="AV37" s="288"/>
      <c r="AW37" s="288"/>
      <c r="AX37" s="288"/>
      <c r="AY37" s="288"/>
    </row>
    <row r="38" spans="1:51" s="288" customFormat="1" ht="24.95" customHeight="1" x14ac:dyDescent="0.3">
      <c r="A38" s="487" t="s">
        <v>185</v>
      </c>
      <c r="B38" s="488">
        <v>31635</v>
      </c>
      <c r="C38" s="489">
        <f>20000*2.20462</f>
        <v>44092.399999999994</v>
      </c>
      <c r="D38" s="488" t="s">
        <v>70</v>
      </c>
      <c r="E38" s="488" t="s">
        <v>186</v>
      </c>
      <c r="F38" s="488" t="s">
        <v>188</v>
      </c>
      <c r="G38" s="488" t="s">
        <v>36</v>
      </c>
      <c r="H38" s="488" t="s">
        <v>109</v>
      </c>
      <c r="I38" s="684" t="e" vm="1">
        <v>#VALUE!</v>
      </c>
      <c r="J38" s="488" t="s">
        <v>53</v>
      </c>
      <c r="K38" s="488"/>
      <c r="L38" s="490">
        <v>45929</v>
      </c>
      <c r="M38" s="491" t="str">
        <f>IF(OR(H38="cif", H38="cfr", H38="dap"), "-", "INSERT NAME HERE")</f>
        <v>-</v>
      </c>
      <c r="N38" s="503" t="s">
        <v>40</v>
      </c>
      <c r="O38" s="491">
        <f>IF(OR(H38="cif", H38="cfr", H38="dap"), 575, "INSERT VALUE HERE")</f>
        <v>575</v>
      </c>
      <c r="P38" s="488" t="str">
        <f>IF(O38=575,"CAD","INSERT CURRENCY")</f>
        <v>CAD</v>
      </c>
      <c r="Q38" s="504">
        <f>IF(O38="NA","NA",(O38/C38))</f>
        <v>1.3040796146274644E-2</v>
      </c>
      <c r="R38" s="490" t="s">
        <v>42</v>
      </c>
      <c r="S38" s="492" t="s">
        <v>42</v>
      </c>
      <c r="T38" s="490">
        <v>46003</v>
      </c>
      <c r="U38" s="505" t="s">
        <v>43</v>
      </c>
      <c r="V38" s="490" t="s">
        <v>174</v>
      </c>
      <c r="W38" s="496" t="s">
        <v>45</v>
      </c>
      <c r="X38" s="497">
        <f>17000*0.7</f>
        <v>11900</v>
      </c>
      <c r="Y38" s="498" t="s">
        <v>68</v>
      </c>
      <c r="Z38" s="498" t="s">
        <v>41</v>
      </c>
      <c r="AA38" s="814"/>
      <c r="AB38" s="490"/>
      <c r="AC38" s="490"/>
      <c r="AD38" s="548"/>
      <c r="AE38" s="286"/>
    </row>
    <row r="39" spans="1:51" s="681" customFormat="1" ht="24.95" customHeight="1" x14ac:dyDescent="0.35">
      <c r="A39" s="587" t="s">
        <v>200</v>
      </c>
      <c r="B39" s="488">
        <v>31594</v>
      </c>
      <c r="C39" s="559">
        <f>50*1100</f>
        <v>55000</v>
      </c>
      <c r="D39" s="488" t="s">
        <v>48</v>
      </c>
      <c r="E39" s="769" t="s">
        <v>201</v>
      </c>
      <c r="F39" s="488" t="s">
        <v>202</v>
      </c>
      <c r="G39" s="488" t="s">
        <v>36</v>
      </c>
      <c r="H39" s="488" t="s">
        <v>51</v>
      </c>
      <c r="I39" s="684" t="e" vm="2">
        <v>#VALUE!</v>
      </c>
      <c r="J39" s="502" t="s">
        <v>120</v>
      </c>
      <c r="K39" s="502"/>
      <c r="L39" s="490">
        <v>45964</v>
      </c>
      <c r="M39" s="491" t="str">
        <f>IF(OR(H39="cif", H39="cfr", H39="dap"), "-", "INSERT NAME HERE")</f>
        <v>-</v>
      </c>
      <c r="N39" s="503" t="s">
        <v>40</v>
      </c>
      <c r="O39" s="491">
        <f>IF(OR(H39="cif", H39="cfr", H39="dap"), 575, "INSERT VALUE HERE")</f>
        <v>575</v>
      </c>
      <c r="P39" s="488" t="str">
        <f>IF(O39=575,"CAD","INSERT CURRENCY")</f>
        <v>CAD</v>
      </c>
      <c r="Q39" s="504">
        <f>IF(O39="NA","NA",(O39/C39))</f>
        <v>1.0454545454545454E-2</v>
      </c>
      <c r="R39" s="490" t="s">
        <v>42</v>
      </c>
      <c r="S39" s="495" t="s">
        <v>42</v>
      </c>
      <c r="T39" s="490">
        <v>46003</v>
      </c>
      <c r="U39" s="495" t="s">
        <v>43</v>
      </c>
      <c r="V39" s="490" t="s">
        <v>192</v>
      </c>
      <c r="W39" s="496" t="s">
        <v>45</v>
      </c>
      <c r="X39" s="497">
        <v>184800</v>
      </c>
      <c r="Y39" s="498" t="s">
        <v>79</v>
      </c>
      <c r="Z39" s="498" t="s">
        <v>41</v>
      </c>
      <c r="AA39" s="498"/>
      <c r="AB39" s="498"/>
      <c r="AC39" s="827"/>
      <c r="AD39" s="501"/>
      <c r="AE39" s="830"/>
    </row>
    <row r="40" spans="1:51" s="413" customFormat="1" ht="24.95" customHeight="1" x14ac:dyDescent="0.35">
      <c r="A40" s="587" t="s">
        <v>210</v>
      </c>
      <c r="B40" s="488">
        <v>31642</v>
      </c>
      <c r="C40" s="489">
        <f>18000*2.20462</f>
        <v>39683.159999999996</v>
      </c>
      <c r="D40" s="488" t="s">
        <v>48</v>
      </c>
      <c r="E40" s="488" t="s">
        <v>211</v>
      </c>
      <c r="F40" s="488" t="s">
        <v>212</v>
      </c>
      <c r="G40" s="488" t="s">
        <v>36</v>
      </c>
      <c r="H40" s="488" t="s">
        <v>60</v>
      </c>
      <c r="I40" s="684" t="s">
        <v>213</v>
      </c>
      <c r="J40" s="488" t="s">
        <v>53</v>
      </c>
      <c r="K40" s="488"/>
      <c r="L40" s="490">
        <v>45963</v>
      </c>
      <c r="M40" s="491" t="str">
        <f>IF(OR(H40="cif", H40="cfr", H40="dap"), "-", "INSERT NAME HERE")</f>
        <v>-</v>
      </c>
      <c r="N40" s="488" t="s">
        <v>40</v>
      </c>
      <c r="O40" s="491">
        <f>IF(OR(H40="cif", H40="cfr", H40="dap"), 575, "INSERT VALUE HERE")</f>
        <v>575</v>
      </c>
      <c r="P40" s="488" t="str">
        <f>IF(O40=575,"CAD","INSERT CURRENCY")</f>
        <v>CAD</v>
      </c>
      <c r="Q40" s="504">
        <f>IF(O40="NA","NA",(O40/C40))</f>
        <v>1.4489773495860715E-2</v>
      </c>
      <c r="R40" s="490" t="s">
        <v>42</v>
      </c>
      <c r="S40" s="492" t="s">
        <v>42</v>
      </c>
      <c r="T40" s="490">
        <v>46008</v>
      </c>
      <c r="U40" s="495" t="s">
        <v>43</v>
      </c>
      <c r="V40" s="490" t="s">
        <v>214</v>
      </c>
      <c r="W40" s="549" t="s">
        <v>45</v>
      </c>
      <c r="X40" s="497">
        <v>33730.379999999997</v>
      </c>
      <c r="Y40" s="498" t="s">
        <v>215</v>
      </c>
      <c r="Z40" s="498" t="s">
        <v>80</v>
      </c>
      <c r="AA40" s="535"/>
      <c r="AB40" s="535"/>
      <c r="AC40" s="828"/>
      <c r="AD40" s="501"/>
      <c r="AE40" s="830"/>
      <c r="AF40" s="288"/>
      <c r="AG40" s="288"/>
      <c r="AH40" s="288"/>
      <c r="AI40" s="288"/>
      <c r="AJ40" s="288"/>
      <c r="AK40" s="288"/>
      <c r="AL40" s="288"/>
      <c r="AM40" s="288"/>
      <c r="AN40" s="288"/>
      <c r="AO40" s="288"/>
      <c r="AP40" s="288"/>
      <c r="AQ40" s="288"/>
      <c r="AR40" s="288"/>
      <c r="AS40" s="288"/>
      <c r="AT40" s="288"/>
      <c r="AU40" s="288"/>
      <c r="AV40" s="288"/>
      <c r="AW40" s="288"/>
      <c r="AX40" s="288"/>
      <c r="AY40" s="288"/>
    </row>
    <row r="41" spans="1:51" s="288" customFormat="1" ht="24.95" customHeight="1" x14ac:dyDescent="0.35">
      <c r="A41" s="587" t="s">
        <v>210</v>
      </c>
      <c r="B41" s="488">
        <v>31643</v>
      </c>
      <c r="C41" s="489">
        <f>18000*2.20462</f>
        <v>39683.159999999996</v>
      </c>
      <c r="D41" s="488" t="s">
        <v>48</v>
      </c>
      <c r="E41" s="488" t="s">
        <v>211</v>
      </c>
      <c r="F41" s="488" t="s">
        <v>216</v>
      </c>
      <c r="G41" s="488" t="s">
        <v>36</v>
      </c>
      <c r="H41" s="488" t="s">
        <v>60</v>
      </c>
      <c r="I41" s="684" t="s">
        <v>213</v>
      </c>
      <c r="J41" s="488" t="s">
        <v>53</v>
      </c>
      <c r="K41" s="488"/>
      <c r="L41" s="490">
        <v>45963</v>
      </c>
      <c r="M41" s="491" t="str">
        <f>IF(OR(H41="cif", H41="cfr", H41="dap"), "-", "INSERT NAME HERE")</f>
        <v>-</v>
      </c>
      <c r="N41" s="488" t="s">
        <v>40</v>
      </c>
      <c r="O41" s="491">
        <f>IF(OR(H41="cif", H41="cfr", H41="dap"), 575, "INSERT VALUE HERE")</f>
        <v>575</v>
      </c>
      <c r="P41" s="488" t="str">
        <f>IF(O41=575,"CAD","INSERT CURRENCY")</f>
        <v>CAD</v>
      </c>
      <c r="Q41" s="504">
        <f>IF(O41="NA","NA",(O41/C41))</f>
        <v>1.4489773495860715E-2</v>
      </c>
      <c r="R41" s="490" t="s">
        <v>42</v>
      </c>
      <c r="S41" s="492" t="s">
        <v>42</v>
      </c>
      <c r="T41" s="490">
        <v>46008</v>
      </c>
      <c r="U41" s="495" t="s">
        <v>43</v>
      </c>
      <c r="V41" s="490" t="s">
        <v>214</v>
      </c>
      <c r="W41" s="549" t="s">
        <v>45</v>
      </c>
      <c r="X41" s="497">
        <v>33730.379999999997</v>
      </c>
      <c r="Y41" s="498" t="s">
        <v>215</v>
      </c>
      <c r="Z41" s="498" t="s">
        <v>80</v>
      </c>
      <c r="AA41" s="535"/>
      <c r="AB41" s="498"/>
      <c r="AC41" s="827"/>
      <c r="AD41" s="501"/>
      <c r="AE41" s="830"/>
    </row>
    <row r="42" spans="1:51" s="413" customFormat="1" ht="24.95" customHeight="1" x14ac:dyDescent="0.35">
      <c r="A42" s="587" t="s">
        <v>203</v>
      </c>
      <c r="B42" s="488">
        <v>31755</v>
      </c>
      <c r="C42" s="489">
        <f>25447*2.20462</f>
        <v>56100.965139999993</v>
      </c>
      <c r="D42" s="488" t="s">
        <v>70</v>
      </c>
      <c r="E42" s="769" t="s">
        <v>204</v>
      </c>
      <c r="F42" s="488" t="s">
        <v>205</v>
      </c>
      <c r="G42" s="488" t="s">
        <v>119</v>
      </c>
      <c r="H42" s="488" t="s">
        <v>51</v>
      </c>
      <c r="I42" s="684" t="e" vm="6">
        <v>#VALUE!</v>
      </c>
      <c r="J42" s="488" t="s">
        <v>206</v>
      </c>
      <c r="K42" s="488"/>
      <c r="L42" s="490">
        <v>45941</v>
      </c>
      <c r="M42" s="491" t="str">
        <f>IF(OR(H42="cif", H42="cfr"), "-", "INSERT NAME HERE")</f>
        <v>-</v>
      </c>
      <c r="N42" s="503" t="s">
        <v>40</v>
      </c>
      <c r="O42" s="491">
        <f>IF(OR(H42="cif", H42="cfr", H42="dap"), 575, "INSERT VALUE HERE")</f>
        <v>575</v>
      </c>
      <c r="P42" s="488" t="str">
        <f>IF(O42=575,"CAD","INSERT CURRENCY")</f>
        <v>CAD</v>
      </c>
      <c r="Q42" s="504">
        <f>IF(O42="NA","NA",(O42/C42))</f>
        <v>1.024937803770554E-2</v>
      </c>
      <c r="R42" s="490" t="s">
        <v>42</v>
      </c>
      <c r="S42" s="495" t="s">
        <v>42</v>
      </c>
      <c r="T42" s="490">
        <v>46013</v>
      </c>
      <c r="U42" s="505" t="s">
        <v>43</v>
      </c>
      <c r="V42" s="490" t="s">
        <v>174</v>
      </c>
      <c r="W42" s="549" t="s">
        <v>45</v>
      </c>
      <c r="X42" s="497">
        <v>21318</v>
      </c>
      <c r="Y42" s="498"/>
      <c r="Z42" s="498" t="s">
        <v>41</v>
      </c>
      <c r="AA42" s="498"/>
      <c r="AB42" s="498"/>
      <c r="AC42" s="827"/>
      <c r="AD42" s="501"/>
      <c r="AE42" s="792"/>
      <c r="AF42" s="288"/>
      <c r="AG42" s="288"/>
      <c r="AH42" s="288"/>
      <c r="AI42" s="288"/>
      <c r="AJ42" s="288"/>
      <c r="AK42" s="288"/>
      <c r="AL42" s="288"/>
      <c r="AM42" s="288"/>
      <c r="AN42" s="288"/>
      <c r="AO42" s="288"/>
      <c r="AP42" s="288"/>
      <c r="AQ42" s="288"/>
      <c r="AR42" s="288"/>
      <c r="AS42" s="288"/>
      <c r="AT42" s="288"/>
      <c r="AU42" s="288"/>
      <c r="AV42" s="288"/>
      <c r="AW42" s="288"/>
      <c r="AX42" s="288"/>
      <c r="AY42" s="288"/>
    </row>
    <row r="43" spans="1:51" s="413" customFormat="1" ht="24.95" customHeight="1" x14ac:dyDescent="0.3">
      <c r="A43" s="569"/>
      <c r="B43" s="677"/>
      <c r="C43" s="678"/>
      <c r="D43" s="570"/>
      <c r="E43" s="570"/>
      <c r="F43" s="570"/>
      <c r="G43" s="570"/>
      <c r="H43" s="572"/>
      <c r="I43" s="572"/>
      <c r="J43" s="572"/>
      <c r="K43" s="572"/>
      <c r="L43" s="687"/>
      <c r="M43" s="573"/>
      <c r="N43" s="574"/>
      <c r="O43" s="575"/>
      <c r="P43" s="570"/>
      <c r="Q43" s="679"/>
      <c r="R43" s="573"/>
      <c r="S43" s="578"/>
      <c r="T43" s="573"/>
      <c r="U43" s="580"/>
      <c r="V43" s="573"/>
      <c r="W43" s="668"/>
      <c r="X43" s="581"/>
      <c r="Y43" s="579"/>
      <c r="Z43" s="579"/>
      <c r="AA43" s="713"/>
      <c r="AB43" s="713"/>
      <c r="AC43" s="548"/>
      <c r="AD43" s="713"/>
      <c r="AE43" s="713"/>
      <c r="AF43" s="288"/>
      <c r="AG43" s="288"/>
      <c r="AH43" s="288"/>
      <c r="AI43" s="288"/>
      <c r="AJ43" s="288"/>
      <c r="AK43" s="288"/>
      <c r="AL43" s="288"/>
      <c r="AM43" s="288"/>
      <c r="AN43" s="288"/>
      <c r="AO43" s="288"/>
      <c r="AP43" s="288"/>
      <c r="AQ43" s="288"/>
      <c r="AR43" s="288"/>
      <c r="AS43" s="288"/>
      <c r="AT43" s="288"/>
      <c r="AU43" s="288"/>
      <c r="AV43" s="288"/>
      <c r="AW43" s="288"/>
      <c r="AX43" s="288"/>
      <c r="AY43" s="288"/>
    </row>
    <row r="44" spans="1:51" s="288" customFormat="1" ht="24.95" customHeight="1" x14ac:dyDescent="0.3">
      <c r="X44" s="694"/>
      <c r="Y44" s="579"/>
      <c r="Z44" s="579"/>
      <c r="AA44" s="695"/>
      <c r="AB44" s="695"/>
      <c r="AC44" s="695"/>
      <c r="AD44" s="695"/>
      <c r="AE44" s="695"/>
    </row>
    <row r="45" spans="1:51" ht="23.1" customHeight="1" x14ac:dyDescent="0.3">
      <c r="A45" s="691" t="s">
        <v>217</v>
      </c>
      <c r="B45" s="303"/>
      <c r="D45" s="303"/>
      <c r="G45" s="304"/>
      <c r="L45" s="305"/>
      <c r="M45" s="305"/>
    </row>
    <row r="46" spans="1:51" ht="23.1" customHeight="1" x14ac:dyDescent="0.35">
      <c r="A46" s="306" t="s">
        <v>218</v>
      </c>
      <c r="F46" s="620"/>
    </row>
    <row r="47" spans="1:51" ht="23.1" customHeight="1" x14ac:dyDescent="0.3">
      <c r="A47" s="299" t="s">
        <v>219</v>
      </c>
    </row>
    <row r="48" spans="1:51" ht="23.1" customHeight="1" x14ac:dyDescent="0.3">
      <c r="A48" s="789" t="s">
        <v>220</v>
      </c>
    </row>
    <row r="49" spans="1:26" ht="23.1" customHeight="1" x14ac:dyDescent="0.35">
      <c r="A49" s="307" t="s">
        <v>221</v>
      </c>
      <c r="Z49" s="688"/>
    </row>
    <row r="50" spans="1:26" ht="21.75" hidden="1" customHeight="1" x14ac:dyDescent="0.35">
      <c r="T50" s="416" t="s">
        <v>2</v>
      </c>
      <c r="U50" s="417" t="s">
        <v>222</v>
      </c>
      <c r="V50" s="417" t="s">
        <v>1</v>
      </c>
      <c r="W50" s="417" t="s">
        <v>223</v>
      </c>
      <c r="X50" s="417" t="s">
        <v>224</v>
      </c>
      <c r="Y50" s="417" t="s">
        <v>225</v>
      </c>
      <c r="Z50" s="305"/>
    </row>
    <row r="51" spans="1:26" hidden="1" x14ac:dyDescent="0.3">
      <c r="T51" s="296">
        <v>26186</v>
      </c>
      <c r="U51" s="296">
        <v>10</v>
      </c>
      <c r="V51" s="296" t="s">
        <v>226</v>
      </c>
      <c r="W51" s="296" t="s">
        <v>227</v>
      </c>
      <c r="X51" s="419">
        <v>13750</v>
      </c>
      <c r="Y51" s="284">
        <f>+'SHIPMENT RECEIVED 2024-2025'!T595</f>
        <v>45825</v>
      </c>
      <c r="Z51" s="305"/>
    </row>
    <row r="52" spans="1:26" hidden="1" x14ac:dyDescent="0.3">
      <c r="T52" s="296">
        <v>27805</v>
      </c>
      <c r="U52" s="296">
        <v>20</v>
      </c>
      <c r="V52" s="296" t="s">
        <v>74</v>
      </c>
      <c r="W52" s="296" t="s">
        <v>228</v>
      </c>
      <c r="X52" s="419">
        <v>9994</v>
      </c>
      <c r="Y52" s="284"/>
      <c r="Z52" s="305"/>
    </row>
    <row r="53" spans="1:26" hidden="1" x14ac:dyDescent="0.3">
      <c r="T53" s="296">
        <v>27806</v>
      </c>
      <c r="U53" s="296">
        <v>20</v>
      </c>
      <c r="V53" s="296" t="s">
        <v>74</v>
      </c>
      <c r="W53" s="296" t="s">
        <v>228</v>
      </c>
      <c r="X53" s="419">
        <v>9994</v>
      </c>
      <c r="Y53" s="284"/>
      <c r="Z53" s="305"/>
    </row>
    <row r="54" spans="1:26" hidden="1" x14ac:dyDescent="0.3">
      <c r="T54" s="296">
        <v>27783</v>
      </c>
      <c r="U54" s="296">
        <v>20</v>
      </c>
      <c r="V54" s="296" t="s">
        <v>74</v>
      </c>
      <c r="W54" s="296" t="s">
        <v>229</v>
      </c>
      <c r="X54" s="419">
        <v>11857.5</v>
      </c>
      <c r="Y54" s="284"/>
      <c r="Z54" s="305"/>
    </row>
    <row r="55" spans="1:26" hidden="1" x14ac:dyDescent="0.3">
      <c r="T55" s="296">
        <v>27784</v>
      </c>
      <c r="U55" s="296">
        <v>20</v>
      </c>
      <c r="V55" s="296" t="s">
        <v>74</v>
      </c>
      <c r="W55" s="296" t="s">
        <v>228</v>
      </c>
      <c r="X55" s="419">
        <v>10013</v>
      </c>
      <c r="Y55" s="284"/>
      <c r="Z55" s="305"/>
    </row>
    <row r="56" spans="1:26" hidden="1" x14ac:dyDescent="0.3">
      <c r="T56" s="296">
        <v>27803</v>
      </c>
      <c r="U56" s="296">
        <v>20</v>
      </c>
      <c r="V56" s="296" t="s">
        <v>74</v>
      </c>
      <c r="W56" s="296" t="s">
        <v>230</v>
      </c>
      <c r="X56" s="419">
        <v>10803.5</v>
      </c>
      <c r="Y56" s="284"/>
      <c r="Z56" s="305"/>
    </row>
    <row r="57" spans="1:26" hidden="1" x14ac:dyDescent="0.3">
      <c r="T57" s="296">
        <v>27804</v>
      </c>
      <c r="U57" s="296">
        <v>20</v>
      </c>
      <c r="V57" s="296" t="s">
        <v>74</v>
      </c>
      <c r="W57" s="296" t="s">
        <v>230</v>
      </c>
      <c r="X57" s="419">
        <v>10803.5</v>
      </c>
      <c r="Y57" s="284"/>
      <c r="Z57" s="305"/>
    </row>
    <row r="58" spans="1:26" hidden="1" x14ac:dyDescent="0.3">
      <c r="T58" s="296">
        <v>29697</v>
      </c>
      <c r="U58" s="296">
        <v>30</v>
      </c>
      <c r="V58" s="296" t="s">
        <v>231</v>
      </c>
      <c r="W58" s="296" t="s">
        <v>232</v>
      </c>
      <c r="X58" s="419">
        <v>3708</v>
      </c>
      <c r="Y58" s="284"/>
      <c r="Z58" s="305"/>
    </row>
    <row r="59" spans="1:26" hidden="1" x14ac:dyDescent="0.3">
      <c r="T59" s="296">
        <v>29698</v>
      </c>
      <c r="U59" s="296">
        <v>30</v>
      </c>
      <c r="V59" s="296" t="s">
        <v>231</v>
      </c>
      <c r="W59" s="296" t="s">
        <v>232</v>
      </c>
      <c r="X59" s="419">
        <v>3708</v>
      </c>
      <c r="Y59" s="284"/>
      <c r="Z59" s="305"/>
    </row>
    <row r="60" spans="1:26" hidden="1" x14ac:dyDescent="0.3">
      <c r="T60" s="296">
        <v>29699</v>
      </c>
      <c r="U60" s="296">
        <v>30</v>
      </c>
      <c r="V60" s="296" t="s">
        <v>231</v>
      </c>
      <c r="W60" s="296" t="s">
        <v>232</v>
      </c>
      <c r="X60" s="419">
        <v>3708</v>
      </c>
      <c r="Y60" s="284"/>
      <c r="Z60" s="305"/>
    </row>
    <row r="61" spans="1:26" hidden="1" x14ac:dyDescent="0.3">
      <c r="T61" s="418"/>
      <c r="U61" s="296"/>
      <c r="V61" s="296" t="s">
        <v>233</v>
      </c>
      <c r="W61" s="296"/>
      <c r="X61" s="420">
        <f>+SUM(X51:X60)</f>
        <v>88339.5</v>
      </c>
      <c r="Y61" s="284"/>
    </row>
    <row r="65" spans="24:24" x14ac:dyDescent="0.3">
      <c r="X65" s="483"/>
    </row>
  </sheetData>
  <autoFilter ref="A2:AY40" xr:uid="{F89D675D-BC1C-4FC7-A7E2-6FC7885E3AE9}">
    <sortState xmlns:xlrd2="http://schemas.microsoft.com/office/spreadsheetml/2017/richdata2" ref="A3:AY42">
      <sortCondition ref="T2:T40"/>
    </sortState>
  </autoFilter>
  <mergeCells count="1">
    <mergeCell ref="A1:Y1"/>
  </mergeCells>
  <phoneticPr fontId="78" type="noConversion"/>
  <printOptions verticalCentered="1"/>
  <pageMargins left="0.19685039370078741" right="0.19685039370078741" top="0" bottom="0" header="0" footer="0"/>
  <pageSetup paperSize="5" scale="17" fitToHeight="0" orientation="landscape" r:id="rId1"/>
  <headerFooter>
    <oddFooter>&amp;C&amp;D</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Z69"/>
  <sheetViews>
    <sheetView zoomScale="60" zoomScaleNormal="60" workbookViewId="0">
      <pane xSplit="2" ySplit="1" topLeftCell="F2" activePane="bottomRight" state="frozen"/>
      <selection pane="topRight" activeCell="C1" sqref="C1"/>
      <selection pane="bottomLeft" activeCell="A2" sqref="A2"/>
      <selection pane="bottomRight" activeCell="A8" sqref="A8:XFD8"/>
    </sheetView>
  </sheetViews>
  <sheetFormatPr defaultColWidth="11.42578125" defaultRowHeight="12.75" x14ac:dyDescent="0.2"/>
  <cols>
    <col min="1" max="1" width="38.85546875" customWidth="1"/>
    <col min="2" max="2" width="15.42578125" bestFit="1" customWidth="1"/>
    <col min="3" max="3" width="21.5703125" bestFit="1" customWidth="1"/>
    <col min="4" max="4" width="10.140625" customWidth="1"/>
    <col min="5" max="5" width="66.140625" bestFit="1" customWidth="1"/>
    <col min="6" max="6" width="23.7109375" customWidth="1"/>
    <col min="7" max="7" width="16.42578125" customWidth="1"/>
    <col min="8" max="8" width="22.7109375" customWidth="1"/>
    <col min="9" max="9" width="33" customWidth="1"/>
    <col min="10" max="10" width="31.5703125" bestFit="1" customWidth="1"/>
    <col min="11" max="11" width="34" bestFit="1" customWidth="1"/>
    <col min="12" max="12" width="47.5703125" bestFit="1" customWidth="1"/>
    <col min="13" max="13" width="41.140625" customWidth="1"/>
    <col min="14" max="14" width="33.85546875" customWidth="1"/>
    <col min="15" max="15" width="38.85546875" customWidth="1"/>
    <col min="16" max="16" width="19.5703125" customWidth="1"/>
    <col min="17" max="17" width="18.85546875" customWidth="1"/>
    <col min="18" max="18" width="32" customWidth="1"/>
    <col min="19" max="19" width="25" customWidth="1"/>
    <col min="20" max="20" width="33" customWidth="1"/>
    <col min="21" max="21" width="28.42578125" customWidth="1"/>
    <col min="22" max="22" width="26.140625" customWidth="1"/>
    <col min="23" max="23" width="33.28515625" customWidth="1"/>
    <col min="24" max="24" width="24.5703125" bestFit="1" customWidth="1"/>
    <col min="25" max="25" width="37.7109375" customWidth="1"/>
    <col min="26" max="26" width="24" bestFit="1" customWidth="1"/>
    <col min="27" max="27" width="42.7109375" hidden="1" customWidth="1"/>
    <col min="28" max="28" width="47" hidden="1" customWidth="1"/>
    <col min="29" max="29" width="44.42578125" hidden="1" customWidth="1"/>
    <col min="30" max="30" width="58.7109375" customWidth="1"/>
    <col min="31" max="31" width="23.42578125" style="18" hidden="1" customWidth="1"/>
    <col min="32" max="34" width="11.42578125" style="18" customWidth="1"/>
    <col min="35" max="47" width="11.42578125" style="18"/>
  </cols>
  <sheetData>
    <row r="1" spans="1:51" s="2" customFormat="1" ht="105" customHeight="1" x14ac:dyDescent="0.25">
      <c r="A1" s="311" t="s">
        <v>1</v>
      </c>
      <c r="B1" s="311" t="s">
        <v>2</v>
      </c>
      <c r="C1" s="311" t="s">
        <v>234</v>
      </c>
      <c r="D1" s="311" t="s">
        <v>4</v>
      </c>
      <c r="E1" s="311" t="s">
        <v>5</v>
      </c>
      <c r="F1" s="311" t="s">
        <v>6</v>
      </c>
      <c r="G1" s="311" t="s">
        <v>7</v>
      </c>
      <c r="H1" s="281" t="s">
        <v>8</v>
      </c>
      <c r="I1" s="311" t="s">
        <v>9</v>
      </c>
      <c r="J1" s="311" t="s">
        <v>10</v>
      </c>
      <c r="K1" s="311" t="s">
        <v>11</v>
      </c>
      <c r="L1" s="311" t="s">
        <v>12</v>
      </c>
      <c r="M1" s="281" t="s">
        <v>13</v>
      </c>
      <c r="N1" s="281" t="s">
        <v>14</v>
      </c>
      <c r="O1" s="311" t="s">
        <v>15</v>
      </c>
      <c r="P1" s="281" t="s">
        <v>16</v>
      </c>
      <c r="Q1" s="311" t="s">
        <v>235</v>
      </c>
      <c r="R1" s="311" t="s">
        <v>18</v>
      </c>
      <c r="S1" s="311" t="s">
        <v>19</v>
      </c>
      <c r="T1" s="311" t="s">
        <v>236</v>
      </c>
      <c r="U1" s="311" t="s">
        <v>21</v>
      </c>
      <c r="V1" s="311" t="s">
        <v>22</v>
      </c>
      <c r="W1" s="311" t="s">
        <v>23</v>
      </c>
      <c r="X1" s="281" t="s">
        <v>24</v>
      </c>
      <c r="Y1" s="311" t="s">
        <v>237</v>
      </c>
      <c r="Z1" s="311" t="s">
        <v>26</v>
      </c>
      <c r="AA1" s="311" t="s">
        <v>238</v>
      </c>
      <c r="AB1" s="281" t="s">
        <v>239</v>
      </c>
      <c r="AC1" s="311" t="s">
        <v>240</v>
      </c>
      <c r="AD1" s="311" t="s">
        <v>30</v>
      </c>
      <c r="AE1" s="311" t="s">
        <v>31</v>
      </c>
      <c r="AF1" s="15"/>
      <c r="AG1" s="15"/>
      <c r="AH1" s="15"/>
      <c r="AI1" s="15"/>
      <c r="AJ1" s="15"/>
      <c r="AK1" s="15"/>
      <c r="AL1" s="15"/>
      <c r="AM1" s="15"/>
      <c r="AN1" s="15"/>
      <c r="AO1" s="15"/>
      <c r="AP1" s="15"/>
      <c r="AQ1" s="15"/>
      <c r="AR1" s="15"/>
      <c r="AS1" s="15"/>
      <c r="AT1" s="15"/>
      <c r="AU1" s="15"/>
    </row>
    <row r="2" spans="1:51" s="288" customFormat="1" ht="24.95" customHeight="1" x14ac:dyDescent="0.35">
      <c r="A2" s="487" t="s">
        <v>241</v>
      </c>
      <c r="B2" s="488">
        <v>31318</v>
      </c>
      <c r="C2" s="489">
        <f>6000*2.20462</f>
        <v>13227.72</v>
      </c>
      <c r="D2" s="488">
        <v>20</v>
      </c>
      <c r="E2" s="488" t="s">
        <v>242</v>
      </c>
      <c r="F2" s="488"/>
      <c r="G2" s="488"/>
      <c r="H2" s="488" t="s">
        <v>37</v>
      </c>
      <c r="I2" s="684" t="s">
        <v>74</v>
      </c>
      <c r="J2" s="488" t="s">
        <v>75</v>
      </c>
      <c r="K2" s="488"/>
      <c r="L2" s="603">
        <v>45944</v>
      </c>
      <c r="M2" s="490" t="s">
        <v>243</v>
      </c>
      <c r="N2" s="488" t="s">
        <v>40</v>
      </c>
      <c r="O2" s="491">
        <v>2800</v>
      </c>
      <c r="P2" s="488" t="s">
        <v>41</v>
      </c>
      <c r="Q2" s="504">
        <f>IF(O2="NA","NA",(O2/C2))</f>
        <v>0.2116766910699652</v>
      </c>
      <c r="R2" s="548"/>
      <c r="S2" s="550"/>
      <c r="T2" s="548"/>
      <c r="U2" s="630"/>
      <c r="V2" s="490"/>
      <c r="W2" s="549" t="s">
        <v>45</v>
      </c>
      <c r="X2" s="536">
        <v>9000</v>
      </c>
      <c r="Y2" s="498"/>
      <c r="Z2" s="498" t="s">
        <v>41</v>
      </c>
      <c r="AA2" s="498"/>
      <c r="AB2" s="637"/>
      <c r="AC2" s="490"/>
      <c r="AD2" s="501"/>
      <c r="AE2" s="298"/>
    </row>
    <row r="3" spans="1:51" s="413" customFormat="1" ht="24.95" customHeight="1" x14ac:dyDescent="0.35">
      <c r="A3" s="487" t="s">
        <v>244</v>
      </c>
      <c r="B3" s="523">
        <v>28125</v>
      </c>
      <c r="C3" s="669">
        <v>44000</v>
      </c>
      <c r="D3" s="488">
        <v>40</v>
      </c>
      <c r="E3" s="488" t="s">
        <v>245</v>
      </c>
      <c r="F3" s="523"/>
      <c r="G3" s="523"/>
      <c r="H3" s="488" t="s">
        <v>37</v>
      </c>
      <c r="I3" s="523" t="s">
        <v>246</v>
      </c>
      <c r="J3" s="523" t="s">
        <v>247</v>
      </c>
      <c r="K3" s="490">
        <v>45957</v>
      </c>
      <c r="L3" s="520">
        <v>45964</v>
      </c>
      <c r="M3" s="491" t="s">
        <v>99</v>
      </c>
      <c r="N3" s="488" t="s">
        <v>40</v>
      </c>
      <c r="O3" s="491">
        <v>4375</v>
      </c>
      <c r="P3" s="488" t="str">
        <f>IF(O3=575,"CAD","INSERT CURRENCY")</f>
        <v>INSERT CURRENCY</v>
      </c>
      <c r="Q3" s="525">
        <f>IF(O3="NA","NA",(O3/C3))</f>
        <v>9.9431818181818177E-2</v>
      </c>
      <c r="R3" s="533"/>
      <c r="S3" s="550"/>
      <c r="T3" s="533"/>
      <c r="U3" s="527" t="s">
        <v>43</v>
      </c>
      <c r="V3" s="525"/>
      <c r="W3" s="549" t="s">
        <v>45</v>
      </c>
      <c r="X3" s="528">
        <v>19000</v>
      </c>
      <c r="Y3" s="498" t="s">
        <v>46</v>
      </c>
      <c r="Z3" s="498"/>
      <c r="AA3" s="693"/>
      <c r="AB3" s="739"/>
      <c r="AC3" s="739"/>
      <c r="AD3" s="692"/>
      <c r="AE3" s="286"/>
      <c r="AF3" s="288"/>
      <c r="AG3" s="288"/>
      <c r="AH3" s="288"/>
      <c r="AI3" s="288"/>
      <c r="AJ3" s="288"/>
      <c r="AK3" s="288"/>
      <c r="AL3" s="288"/>
      <c r="AM3" s="288"/>
      <c r="AN3" s="288"/>
      <c r="AO3" s="288"/>
      <c r="AP3" s="288"/>
      <c r="AQ3" s="288"/>
      <c r="AR3" s="288"/>
      <c r="AS3" s="288"/>
      <c r="AT3" s="288"/>
      <c r="AU3" s="288"/>
      <c r="AV3" s="288"/>
      <c r="AW3" s="288"/>
      <c r="AX3" s="288"/>
      <c r="AY3" s="288"/>
    </row>
    <row r="4" spans="1:51" s="288" customFormat="1" ht="24.95" customHeight="1" x14ac:dyDescent="0.3">
      <c r="A4" s="508" t="s">
        <v>248</v>
      </c>
      <c r="B4" s="509">
        <v>31673</v>
      </c>
      <c r="C4" s="510">
        <f>18387*2.20642</f>
        <v>40569.444540000004</v>
      </c>
      <c r="D4" s="509" t="s">
        <v>249</v>
      </c>
      <c r="E4" s="509" t="s">
        <v>250</v>
      </c>
      <c r="F4" s="509"/>
      <c r="G4" s="509"/>
      <c r="H4" s="509" t="s">
        <v>60</v>
      </c>
      <c r="I4" s="509" t="s">
        <v>213</v>
      </c>
      <c r="J4" s="509" t="s">
        <v>53</v>
      </c>
      <c r="K4" s="509"/>
      <c r="L4" s="511">
        <v>45964</v>
      </c>
      <c r="M4" s="511" t="s">
        <v>42</v>
      </c>
      <c r="N4" s="732" t="str">
        <f>IF(OR(I4="cif", I4="cfr"), "-", "INSERT NAME HERE")</f>
        <v>INSERT NAME HERE</v>
      </c>
      <c r="O4" s="512" t="str">
        <f>IF(OR(H4="cif", H4="cfr"), 575, "INSERT VALUE HERE")</f>
        <v>INSERT VALUE HERE</v>
      </c>
      <c r="P4" s="509" t="str">
        <f>IF(O4=575,"CAD","INSERT CURRENCY")</f>
        <v>INSERT CURRENCY</v>
      </c>
      <c r="Q4" s="513" t="e">
        <f>IF(O4="NA","NA",(O4/C4))</f>
        <v>#VALUE!</v>
      </c>
      <c r="R4" s="543" t="s">
        <v>42</v>
      </c>
      <c r="S4" s="544" t="s">
        <v>42</v>
      </c>
      <c r="T4" s="545" t="s">
        <v>42</v>
      </c>
      <c r="U4" s="539" t="s">
        <v>66</v>
      </c>
      <c r="V4" s="511"/>
      <c r="W4" s="708" t="s">
        <v>45</v>
      </c>
      <c r="X4" s="737">
        <v>71385.600000000006</v>
      </c>
      <c r="Y4" s="515" t="s">
        <v>79</v>
      </c>
      <c r="Z4" s="515" t="s">
        <v>80</v>
      </c>
      <c r="AA4" s="298"/>
      <c r="AB4" s="837"/>
      <c r="AC4" s="827"/>
      <c r="AD4" s="490"/>
      <c r="AE4" s="830"/>
    </row>
    <row r="5" spans="1:51" s="413" customFormat="1" ht="24.95" customHeight="1" x14ac:dyDescent="0.3">
      <c r="A5" s="508" t="s">
        <v>251</v>
      </c>
      <c r="B5" s="509">
        <v>32080</v>
      </c>
      <c r="C5" s="510">
        <f>18371*2.20462</f>
        <v>40501.074019999993</v>
      </c>
      <c r="D5" s="531" t="s">
        <v>249</v>
      </c>
      <c r="E5" s="509" t="s">
        <v>252</v>
      </c>
      <c r="F5" s="509"/>
      <c r="G5" s="509"/>
      <c r="H5" s="509" t="s">
        <v>37</v>
      </c>
      <c r="I5" s="509" t="s">
        <v>253</v>
      </c>
      <c r="J5" s="509" t="s">
        <v>62</v>
      </c>
      <c r="K5" s="509"/>
      <c r="L5" s="511">
        <v>45964</v>
      </c>
      <c r="M5" s="511" t="s">
        <v>42</v>
      </c>
      <c r="N5" s="732" t="str">
        <f>IF(OR(I5="cif", I5="cfr"), "-", "INSERT NAME HERE")</f>
        <v>INSERT NAME HERE</v>
      </c>
      <c r="O5" s="512" t="str">
        <f>IF(OR(H5="cif", H5="cfr"), 575, "INSERT VALUE HERE")</f>
        <v>INSERT VALUE HERE</v>
      </c>
      <c r="P5" s="509" t="str">
        <f>IF(O5=575,"CAD","INSERT CURRENCY")</f>
        <v>INSERT CURRENCY</v>
      </c>
      <c r="Q5" s="513" t="e">
        <f>IF(O5="NA","NA",(O5/C5))</f>
        <v>#VALUE!</v>
      </c>
      <c r="R5" s="514"/>
      <c r="S5" s="513"/>
      <c r="T5" s="515"/>
      <c r="U5" s="539" t="s">
        <v>66</v>
      </c>
      <c r="V5" s="511"/>
      <c r="W5" s="515" t="s">
        <v>45</v>
      </c>
      <c r="X5" s="712">
        <v>128175</v>
      </c>
      <c r="Y5" s="515" t="s">
        <v>215</v>
      </c>
      <c r="Z5" s="836" t="s">
        <v>41</v>
      </c>
      <c r="AA5" s="518"/>
      <c r="AB5" s="518"/>
      <c r="AC5" s="827"/>
      <c r="AD5" s="692"/>
      <c r="AE5" s="396"/>
      <c r="AF5" s="288"/>
      <c r="AG5" s="288"/>
      <c r="AH5" s="288"/>
      <c r="AI5" s="288"/>
      <c r="AJ5" s="288"/>
      <c r="AK5" s="288"/>
      <c r="AL5" s="288"/>
      <c r="AM5" s="288"/>
      <c r="AN5" s="288"/>
      <c r="AO5" s="288"/>
      <c r="AP5" s="288"/>
      <c r="AQ5" s="288"/>
      <c r="AR5" s="288"/>
      <c r="AS5" s="288"/>
      <c r="AT5" s="288"/>
      <c r="AU5" s="288"/>
      <c r="AV5" s="288"/>
      <c r="AW5" s="288"/>
      <c r="AX5" s="288"/>
      <c r="AY5" s="288"/>
    </row>
    <row r="6" spans="1:51" s="413" customFormat="1" ht="24.95" customHeight="1" x14ac:dyDescent="0.3">
      <c r="A6" s="802" t="s">
        <v>254</v>
      </c>
      <c r="B6" s="531">
        <v>31973</v>
      </c>
      <c r="C6" s="530">
        <f>15018*2.20462</f>
        <v>33108.983159999996</v>
      </c>
      <c r="D6" s="531"/>
      <c r="E6" s="531" t="s">
        <v>255</v>
      </c>
      <c r="F6" s="531"/>
      <c r="G6" s="531"/>
      <c r="H6" s="531" t="s">
        <v>37</v>
      </c>
      <c r="I6" s="531" t="s">
        <v>256</v>
      </c>
      <c r="J6" s="531" t="s">
        <v>62</v>
      </c>
      <c r="K6" s="531"/>
      <c r="L6" s="640">
        <v>45965</v>
      </c>
      <c r="M6" s="645" t="s">
        <v>42</v>
      </c>
      <c r="N6" s="714" t="str">
        <f>IF(OR(I6="cif", I6="cfr"), "-", "INSERT NAME HERE")</f>
        <v>INSERT NAME HERE</v>
      </c>
      <c r="O6" s="650" t="str">
        <f>IF(OR(H6="cif", H6="cfr"), 575, "INSERT VALUE HERE")</f>
        <v>INSERT VALUE HERE</v>
      </c>
      <c r="P6" s="531" t="str">
        <f>IF(O6=575,"CAD","INSERT CURRENCY")</f>
        <v>INSERT CURRENCY</v>
      </c>
      <c r="Q6" s="512"/>
      <c r="R6" s="514" t="s">
        <v>42</v>
      </c>
      <c r="S6" s="513" t="s">
        <v>42</v>
      </c>
      <c r="T6" s="515" t="s">
        <v>42</v>
      </c>
      <c r="U6" s="516" t="s">
        <v>66</v>
      </c>
      <c r="V6" s="511"/>
      <c r="W6" s="735" t="s">
        <v>45</v>
      </c>
      <c r="X6" s="712">
        <v>60300</v>
      </c>
      <c r="Y6" s="515" t="s">
        <v>79</v>
      </c>
      <c r="Z6" s="515" t="s">
        <v>41</v>
      </c>
      <c r="AA6" s="767"/>
      <c r="AB6" s="767"/>
      <c r="AC6" s="828"/>
      <c r="AD6" s="488"/>
      <c r="AE6" s="826"/>
      <c r="AF6" s="288"/>
      <c r="AG6" s="288"/>
      <c r="AH6" s="288"/>
      <c r="AI6" s="288"/>
      <c r="AJ6" s="288"/>
      <c r="AK6" s="288"/>
      <c r="AL6" s="288"/>
      <c r="AM6" s="288"/>
      <c r="AN6" s="288"/>
      <c r="AO6" s="288"/>
      <c r="AP6" s="288"/>
      <c r="AQ6" s="288"/>
      <c r="AR6" s="288"/>
      <c r="AS6" s="288"/>
      <c r="AT6" s="288"/>
      <c r="AU6" s="288"/>
      <c r="AV6" s="288"/>
      <c r="AW6" s="288"/>
      <c r="AX6" s="288"/>
      <c r="AY6" s="288"/>
    </row>
    <row r="7" spans="1:51" s="288" customFormat="1" ht="24.95" customHeight="1" x14ac:dyDescent="0.35">
      <c r="A7" s="487" t="s">
        <v>257</v>
      </c>
      <c r="B7" s="488">
        <v>32124</v>
      </c>
      <c r="C7" s="489">
        <f>20000*2.20462</f>
        <v>44092.399999999994</v>
      </c>
      <c r="D7" s="488" t="s">
        <v>94</v>
      </c>
      <c r="E7" s="769" t="s">
        <v>258</v>
      </c>
      <c r="F7" s="488"/>
      <c r="G7" s="488" t="s">
        <v>36</v>
      </c>
      <c r="H7" s="488" t="s">
        <v>37</v>
      </c>
      <c r="I7" s="684" t="s">
        <v>97</v>
      </c>
      <c r="J7" s="502" t="s">
        <v>98</v>
      </c>
      <c r="K7" s="490">
        <v>45964</v>
      </c>
      <c r="L7" s="603">
        <v>45966</v>
      </c>
      <c r="M7" s="491" t="s">
        <v>99</v>
      </c>
      <c r="N7" s="503" t="s">
        <v>40</v>
      </c>
      <c r="O7" s="491">
        <v>2150</v>
      </c>
      <c r="P7" s="488" t="s">
        <v>41</v>
      </c>
      <c r="Q7" s="504">
        <f>IF(O7="NA","NA",(O7/C7))</f>
        <v>4.8761237764331278E-2</v>
      </c>
      <c r="R7" s="490"/>
      <c r="S7" s="495"/>
      <c r="T7" s="490"/>
      <c r="U7" s="505"/>
      <c r="V7" s="490"/>
      <c r="W7" s="496"/>
      <c r="X7" s="497">
        <v>76000</v>
      </c>
      <c r="Y7" s="498"/>
      <c r="Z7" s="498"/>
      <c r="AA7" s="535"/>
      <c r="AB7" s="498"/>
      <c r="AC7" s="827"/>
      <c r="AD7" s="501"/>
      <c r="AE7" s="396"/>
    </row>
    <row r="9" spans="1:51" s="413" customFormat="1" ht="24.95" customHeight="1" x14ac:dyDescent="0.3">
      <c r="A9" s="586" t="s">
        <v>267</v>
      </c>
      <c r="B9" s="509">
        <v>32160</v>
      </c>
      <c r="C9" s="510">
        <f>18144*2.20462</f>
        <v>40000.625279999993</v>
      </c>
      <c r="D9" s="509" t="s">
        <v>249</v>
      </c>
      <c r="E9" s="509" t="s">
        <v>268</v>
      </c>
      <c r="F9" s="509" t="s">
        <v>42</v>
      </c>
      <c r="G9" s="509" t="s">
        <v>42</v>
      </c>
      <c r="H9" s="509" t="s">
        <v>37</v>
      </c>
      <c r="I9" s="509" t="s">
        <v>269</v>
      </c>
      <c r="J9" s="509" t="s">
        <v>62</v>
      </c>
      <c r="K9" s="511">
        <v>45974</v>
      </c>
      <c r="L9" s="511">
        <v>45966</v>
      </c>
      <c r="M9" s="645" t="s">
        <v>42</v>
      </c>
      <c r="N9" s="732" t="str">
        <f>IF(OR(I9="cif", I9="cfr"), "-", "INSERT NAME HERE")</f>
        <v>INSERT NAME HERE</v>
      </c>
      <c r="O9" s="650" t="str">
        <f>IF(OR(H9="cif", H9="cfr"), 575, "INSERT VALUE HERE")</f>
        <v>INSERT VALUE HERE</v>
      </c>
      <c r="P9" s="509" t="str">
        <f>IF(O9=575,"CAD","INSERT CURRENCY")</f>
        <v>INSERT CURRENCY</v>
      </c>
      <c r="Q9" s="513" t="e">
        <f t="shared" ref="Q9:Q14" si="0">IF(O9="NA","NA",(O9/C9))</f>
        <v>#VALUE!</v>
      </c>
      <c r="R9" s="514" t="s">
        <v>42</v>
      </c>
      <c r="S9" s="544" t="s">
        <v>42</v>
      </c>
      <c r="T9" s="511"/>
      <c r="U9" s="516" t="s">
        <v>66</v>
      </c>
      <c r="V9" s="511"/>
      <c r="W9" s="515"/>
      <c r="X9" s="712">
        <v>197757</v>
      </c>
      <c r="Y9" s="515" t="s">
        <v>215</v>
      </c>
      <c r="Z9" s="693" t="s">
        <v>41</v>
      </c>
      <c r="AA9" s="518"/>
      <c r="AB9" s="518"/>
      <c r="AC9" s="490">
        <v>45913</v>
      </c>
      <c r="AD9" s="286"/>
      <c r="AE9" s="7">
        <v>45925</v>
      </c>
      <c r="AF9" s="288"/>
      <c r="AG9" s="288"/>
      <c r="AH9" s="288"/>
      <c r="AI9" s="288"/>
      <c r="AJ9" s="288"/>
      <c r="AK9" s="288"/>
      <c r="AL9" s="288"/>
      <c r="AM9" s="288"/>
      <c r="AN9" s="288"/>
      <c r="AO9" s="288"/>
      <c r="AP9" s="288"/>
      <c r="AQ9" s="288"/>
      <c r="AR9" s="288"/>
      <c r="AS9" s="288"/>
      <c r="AT9" s="288"/>
      <c r="AU9" s="288"/>
      <c r="AV9" s="288"/>
      <c r="AW9" s="288"/>
      <c r="AX9" s="288"/>
      <c r="AY9" s="288"/>
    </row>
    <row r="10" spans="1:51" s="413" customFormat="1" ht="24.95" customHeight="1" x14ac:dyDescent="0.3">
      <c r="A10" s="508" t="s">
        <v>270</v>
      </c>
      <c r="B10" s="509">
        <v>31935</v>
      </c>
      <c r="C10" s="530">
        <f>4536*2.20462</f>
        <v>10000.156319999998</v>
      </c>
      <c r="D10" s="531">
        <v>9</v>
      </c>
      <c r="E10" s="509" t="s">
        <v>271</v>
      </c>
      <c r="F10" s="509"/>
      <c r="G10" s="509"/>
      <c r="H10" s="509" t="s">
        <v>37</v>
      </c>
      <c r="I10" s="509" t="s">
        <v>272</v>
      </c>
      <c r="J10" s="509" t="s">
        <v>53</v>
      </c>
      <c r="K10" s="509"/>
      <c r="L10" s="511">
        <v>45968</v>
      </c>
      <c r="M10" s="511" t="s">
        <v>42</v>
      </c>
      <c r="N10" s="732" t="str">
        <f>IF(OR(I10="cif", I10="cfr"), "-", "INSERT NAME HERE")</f>
        <v>INSERT NAME HERE</v>
      </c>
      <c r="O10" s="512" t="str">
        <f>IF(OR(H10="cif", H10="cfr"), 575, "INSERT VALUE HERE")</f>
        <v>INSERT VALUE HERE</v>
      </c>
      <c r="P10" s="509" t="str">
        <f>IF(O10=575,"CAD","INSERT CURRENCY")</f>
        <v>INSERT CURRENCY</v>
      </c>
      <c r="Q10" s="513" t="e">
        <f t="shared" si="0"/>
        <v>#VALUE!</v>
      </c>
      <c r="R10" s="514" t="s">
        <v>42</v>
      </c>
      <c r="S10" s="513" t="s">
        <v>42</v>
      </c>
      <c r="T10" s="515" t="s">
        <v>42</v>
      </c>
      <c r="U10" s="516" t="s">
        <v>66</v>
      </c>
      <c r="V10" s="511"/>
      <c r="W10" s="735" t="s">
        <v>45</v>
      </c>
      <c r="X10" s="712"/>
      <c r="Y10" s="515" t="s">
        <v>79</v>
      </c>
      <c r="Z10" s="515" t="s">
        <v>80</v>
      </c>
      <c r="AA10" s="767"/>
      <c r="AB10" s="767"/>
      <c r="AC10" s="829"/>
      <c r="AD10" s="692"/>
      <c r="AE10" s="396"/>
      <c r="AF10" s="288"/>
      <c r="AG10" s="288"/>
      <c r="AH10" s="288"/>
      <c r="AI10" s="288"/>
      <c r="AJ10" s="288"/>
      <c r="AK10" s="288"/>
      <c r="AL10" s="288"/>
      <c r="AM10" s="288"/>
      <c r="AN10" s="288"/>
      <c r="AO10" s="288"/>
      <c r="AP10" s="288"/>
      <c r="AQ10" s="288"/>
      <c r="AR10" s="288"/>
      <c r="AS10" s="288"/>
      <c r="AT10" s="288"/>
      <c r="AU10" s="288"/>
      <c r="AV10" s="288"/>
      <c r="AW10" s="288"/>
      <c r="AX10" s="288"/>
      <c r="AY10" s="288"/>
    </row>
    <row r="11" spans="1:51" s="413" customFormat="1" ht="24.95" customHeight="1" x14ac:dyDescent="0.35">
      <c r="A11" s="588" t="s">
        <v>289</v>
      </c>
      <c r="B11" s="591">
        <v>29563</v>
      </c>
      <c r="C11" s="849">
        <v>40000</v>
      </c>
      <c r="D11" s="589" t="s">
        <v>105</v>
      </c>
      <c r="E11" s="591" t="s">
        <v>290</v>
      </c>
      <c r="F11" s="591"/>
      <c r="G11" s="591" t="s">
        <v>36</v>
      </c>
      <c r="H11" s="591" t="s">
        <v>164</v>
      </c>
      <c r="I11" s="591" t="s">
        <v>291</v>
      </c>
      <c r="J11" s="591" t="s">
        <v>292</v>
      </c>
      <c r="K11" s="591"/>
      <c r="L11" s="596">
        <v>45970</v>
      </c>
      <c r="M11" s="596" t="s">
        <v>135</v>
      </c>
      <c r="N11" s="590" t="s">
        <v>64</v>
      </c>
      <c r="O11" s="491">
        <v>1942</v>
      </c>
      <c r="P11" s="591" t="s">
        <v>41</v>
      </c>
      <c r="Q11" s="592">
        <f t="shared" si="0"/>
        <v>4.8550000000000003E-2</v>
      </c>
      <c r="R11" s="593"/>
      <c r="S11" s="592"/>
      <c r="T11" s="594"/>
      <c r="U11" s="595" t="s">
        <v>167</v>
      </c>
      <c r="V11" s="596"/>
      <c r="W11" s="867" t="s">
        <v>65</v>
      </c>
      <c r="X11" s="851">
        <v>40640</v>
      </c>
      <c r="Y11" s="594" t="s">
        <v>46</v>
      </c>
      <c r="Z11" s="498" t="s">
        <v>41</v>
      </c>
      <c r="AA11" s="767"/>
      <c r="AB11" s="535"/>
      <c r="AC11" s="828"/>
      <c r="AD11" s="501"/>
      <c r="AE11" s="396"/>
      <c r="AF11" s="288"/>
      <c r="AG11" s="288"/>
      <c r="AH11" s="288"/>
      <c r="AI11" s="288"/>
      <c r="AJ11" s="288"/>
      <c r="AK11" s="288"/>
      <c r="AL11" s="288"/>
      <c r="AM11" s="288"/>
      <c r="AN11" s="288"/>
      <c r="AO11" s="288"/>
      <c r="AP11" s="288"/>
      <c r="AQ11" s="288"/>
      <c r="AR11" s="288"/>
      <c r="AS11" s="288"/>
      <c r="AT11" s="288"/>
      <c r="AU11" s="288"/>
      <c r="AV11" s="288"/>
      <c r="AW11" s="288"/>
      <c r="AX11" s="288"/>
      <c r="AY11" s="288"/>
    </row>
    <row r="12" spans="1:51" s="413" customFormat="1" ht="24.95" customHeight="1" x14ac:dyDescent="0.3">
      <c r="A12" s="802" t="s">
        <v>259</v>
      </c>
      <c r="B12" s="531">
        <v>28367</v>
      </c>
      <c r="C12" s="530">
        <v>40500</v>
      </c>
      <c r="D12" s="531" t="s">
        <v>249</v>
      </c>
      <c r="E12" s="531" t="s">
        <v>260</v>
      </c>
      <c r="F12" s="531"/>
      <c r="G12" s="531"/>
      <c r="H12" s="531" t="s">
        <v>37</v>
      </c>
      <c r="I12" s="531" t="s">
        <v>261</v>
      </c>
      <c r="J12" s="531" t="s">
        <v>53</v>
      </c>
      <c r="K12" s="531"/>
      <c r="L12" s="645">
        <v>45971</v>
      </c>
      <c r="M12" s="645" t="s">
        <v>42</v>
      </c>
      <c r="N12" s="732" t="str">
        <f>IF(OR(I12="cif", I12="cfr"), "-", "INSERT NAME HERE")</f>
        <v>INSERT NAME HERE</v>
      </c>
      <c r="O12" s="650" t="str">
        <f>IF(OR(H12="cif", H12="cfr"), 575, "INSERT VALUE HERE")</f>
        <v>INSERT VALUE HERE</v>
      </c>
      <c r="P12" s="531" t="str">
        <f>IF(O12=575,"CAD","INSERT CURRENCY")</f>
        <v>INSERT CURRENCY</v>
      </c>
      <c r="Q12" s="834" t="e">
        <f t="shared" si="0"/>
        <v>#VALUE!</v>
      </c>
      <c r="R12" s="514" t="s">
        <v>42</v>
      </c>
      <c r="S12" s="513" t="s">
        <v>42</v>
      </c>
      <c r="T12" s="515" t="s">
        <v>42</v>
      </c>
      <c r="U12" s="516" t="s">
        <v>66</v>
      </c>
      <c r="V12" s="511"/>
      <c r="W12" s="735" t="s">
        <v>45</v>
      </c>
      <c r="X12" s="712">
        <v>56700</v>
      </c>
      <c r="Y12" s="515" t="s">
        <v>79</v>
      </c>
      <c r="Z12" s="515" t="s">
        <v>80</v>
      </c>
      <c r="AA12" s="767"/>
      <c r="AB12" s="767"/>
      <c r="AC12" s="829"/>
      <c r="AD12" s="692" t="s">
        <v>262</v>
      </c>
      <c r="AE12" s="826"/>
      <c r="AF12" s="288"/>
      <c r="AG12" s="288"/>
      <c r="AH12" s="288"/>
      <c r="AI12" s="288"/>
      <c r="AJ12" s="288"/>
      <c r="AK12" s="288"/>
      <c r="AL12" s="288"/>
      <c r="AM12" s="288"/>
      <c r="AN12" s="288"/>
      <c r="AO12" s="288"/>
      <c r="AP12" s="288"/>
      <c r="AQ12" s="288"/>
      <c r="AR12" s="288"/>
      <c r="AS12" s="288"/>
      <c r="AT12" s="288"/>
      <c r="AU12" s="288"/>
      <c r="AV12" s="288"/>
      <c r="AW12" s="288"/>
      <c r="AX12" s="288"/>
      <c r="AY12" s="288"/>
    </row>
    <row r="13" spans="1:51" s="413" customFormat="1" ht="24.95" customHeight="1" x14ac:dyDescent="0.3">
      <c r="A13" s="802" t="s">
        <v>259</v>
      </c>
      <c r="B13" s="531">
        <v>31937</v>
      </c>
      <c r="C13" s="530">
        <f>5200*2.20462</f>
        <v>11464.023999999999</v>
      </c>
      <c r="D13" s="531">
        <v>8</v>
      </c>
      <c r="E13" s="531" t="s">
        <v>273</v>
      </c>
      <c r="F13" s="531"/>
      <c r="G13" s="531"/>
      <c r="H13" s="531" t="s">
        <v>37</v>
      </c>
      <c r="I13" s="531" t="s">
        <v>261</v>
      </c>
      <c r="J13" s="531" t="s">
        <v>53</v>
      </c>
      <c r="K13" s="531"/>
      <c r="L13" s="645">
        <v>45972</v>
      </c>
      <c r="M13" s="645" t="s">
        <v>42</v>
      </c>
      <c r="N13" s="714" t="str">
        <f>IF(OR(I13="cif", I13="cfr"), "-", "INSERT NAME HERE")</f>
        <v>INSERT NAME HERE</v>
      </c>
      <c r="O13" s="538" t="str">
        <f>IF(OR(H13="cif", H13="cfr"), 575, "INSERT VALUE HERE")</f>
        <v>INSERT VALUE HERE</v>
      </c>
      <c r="P13" s="531" t="str">
        <f>IF(O13=575,"CAD","INSERT CURRENCY")</f>
        <v>INSERT CURRENCY</v>
      </c>
      <c r="Q13" s="834" t="e">
        <f t="shared" si="0"/>
        <v>#VALUE!</v>
      </c>
      <c r="R13" s="651" t="s">
        <v>42</v>
      </c>
      <c r="S13" s="532" t="s">
        <v>42</v>
      </c>
      <c r="T13" s="652" t="s">
        <v>42</v>
      </c>
      <c r="U13" s="853" t="s">
        <v>66</v>
      </c>
      <c r="V13" s="645"/>
      <c r="W13" s="855" t="s">
        <v>45</v>
      </c>
      <c r="X13" s="737">
        <v>56700</v>
      </c>
      <c r="Y13" s="652" t="s">
        <v>79</v>
      </c>
      <c r="Z13" s="854"/>
      <c r="AA13" s="767"/>
      <c r="AB13" s="767"/>
      <c r="AC13" s="829"/>
      <c r="AD13" s="870" t="s">
        <v>262</v>
      </c>
      <c r="AE13" s="826"/>
      <c r="AF13" s="288"/>
      <c r="AG13" s="288"/>
      <c r="AH13" s="288"/>
      <c r="AI13" s="288"/>
      <c r="AJ13" s="288"/>
      <c r="AK13" s="288"/>
      <c r="AL13" s="288"/>
      <c r="AM13" s="288"/>
      <c r="AN13" s="288"/>
      <c r="AO13" s="288"/>
      <c r="AP13" s="288"/>
      <c r="AQ13" s="288"/>
      <c r="AR13" s="288"/>
      <c r="AS13" s="288"/>
      <c r="AT13" s="288"/>
      <c r="AU13" s="288"/>
      <c r="AV13" s="288"/>
      <c r="AW13" s="288"/>
      <c r="AX13" s="288"/>
      <c r="AY13" s="288"/>
    </row>
    <row r="14" spans="1:51" s="251" customFormat="1" ht="23.25" x14ac:dyDescent="0.35">
      <c r="A14" s="487" t="s">
        <v>289</v>
      </c>
      <c r="B14" s="488">
        <v>29529</v>
      </c>
      <c r="C14" s="489">
        <v>40000</v>
      </c>
      <c r="D14" s="488" t="s">
        <v>105</v>
      </c>
      <c r="E14" s="769" t="s">
        <v>290</v>
      </c>
      <c r="F14" s="488"/>
      <c r="G14" s="488" t="s">
        <v>108</v>
      </c>
      <c r="H14" s="488" t="s">
        <v>164</v>
      </c>
      <c r="I14" s="684" t="s">
        <v>350</v>
      </c>
      <c r="J14" s="502" t="s">
        <v>292</v>
      </c>
      <c r="K14" s="502"/>
      <c r="L14" s="603">
        <v>45978</v>
      </c>
      <c r="M14" s="491" t="s">
        <v>135</v>
      </c>
      <c r="N14" s="503" t="s">
        <v>40</v>
      </c>
      <c r="O14" s="491">
        <v>3200</v>
      </c>
      <c r="P14" s="488" t="s">
        <v>41</v>
      </c>
      <c r="Q14" s="504">
        <f t="shared" si="0"/>
        <v>0.08</v>
      </c>
      <c r="R14" s="490"/>
      <c r="S14" s="495" t="s">
        <v>121</v>
      </c>
      <c r="T14" s="490"/>
      <c r="U14" s="495" t="s">
        <v>167</v>
      </c>
      <c r="V14" s="490"/>
      <c r="W14" s="496" t="s">
        <v>45</v>
      </c>
      <c r="X14" s="497">
        <v>40640</v>
      </c>
      <c r="Y14" s="498" t="s">
        <v>46</v>
      </c>
      <c r="Z14" s="498" t="s">
        <v>41</v>
      </c>
      <c r="AA14" s="498"/>
      <c r="AB14" s="498"/>
      <c r="AC14" s="490"/>
      <c r="AD14" s="501"/>
      <c r="AE14" s="252"/>
      <c r="AF14" s="252"/>
      <c r="AG14" s="252"/>
      <c r="AH14" s="252"/>
      <c r="AI14" s="252"/>
      <c r="AJ14" s="252"/>
      <c r="AK14" s="252"/>
      <c r="AL14" s="252"/>
      <c r="AM14" s="252"/>
      <c r="AN14" s="252"/>
      <c r="AO14" s="252"/>
      <c r="AP14" s="252"/>
      <c r="AQ14" s="252"/>
      <c r="AR14" s="252"/>
      <c r="AS14" s="252"/>
      <c r="AT14" s="252"/>
      <c r="AU14" s="252"/>
    </row>
    <row r="15" spans="1:51" s="413" customFormat="1" ht="24.95" customHeight="1" x14ac:dyDescent="0.35">
      <c r="A15" s="860" t="s">
        <v>274</v>
      </c>
      <c r="B15" s="861">
        <v>31820</v>
      </c>
      <c r="C15" s="862">
        <v>18000</v>
      </c>
      <c r="D15" s="861">
        <v>9</v>
      </c>
      <c r="E15" s="861" t="s">
        <v>275</v>
      </c>
      <c r="F15" s="861"/>
      <c r="G15" s="861"/>
      <c r="H15" s="861" t="s">
        <v>37</v>
      </c>
      <c r="I15" s="861" t="s">
        <v>276</v>
      </c>
      <c r="J15" s="861" t="s">
        <v>62</v>
      </c>
      <c r="K15" s="861"/>
      <c r="L15" s="863" t="s">
        <v>277</v>
      </c>
      <c r="M15" s="711" t="s">
        <v>42</v>
      </c>
      <c r="N15" s="864" t="str">
        <f>IF(OR(I15="cif", I15="cfr"), "-", "INSERT NAME HERE")</f>
        <v>INSERT NAME HERE</v>
      </c>
      <c r="O15" s="865" t="str">
        <f t="shared" ref="O15:O20" si="1">IF(OR(H15="cif", H15="cfr"), 575, "INSERT VALUE HERE")</f>
        <v>INSERT VALUE HERE</v>
      </c>
      <c r="P15" s="861" t="str">
        <f t="shared" ref="P15:P20" si="2">IF(O15=575,"CAD","INSERT CURRENCY")</f>
        <v>INSERT CURRENCY</v>
      </c>
      <c r="Q15" s="865"/>
      <c r="R15" s="543"/>
      <c r="S15" s="544"/>
      <c r="T15" s="545"/>
      <c r="U15" s="539"/>
      <c r="V15" s="866"/>
      <c r="W15" s="735" t="s">
        <v>45</v>
      </c>
      <c r="X15" s="845">
        <v>55260</v>
      </c>
      <c r="Y15" s="545" t="s">
        <v>79</v>
      </c>
      <c r="Z15" s="868" t="s">
        <v>41</v>
      </c>
      <c r="AA15" s="869"/>
      <c r="AB15" s="869"/>
      <c r="AC15" s="856"/>
      <c r="AD15" s="546"/>
      <c r="AE15" s="857"/>
      <c r="AF15" s="288"/>
      <c r="AG15" s="288"/>
      <c r="AH15" s="288"/>
      <c r="AI15" s="288"/>
      <c r="AJ15" s="288"/>
      <c r="AK15" s="288"/>
      <c r="AL15" s="288"/>
      <c r="AM15" s="288"/>
      <c r="AN15" s="288"/>
      <c r="AO15" s="288"/>
      <c r="AP15" s="288"/>
      <c r="AQ15" s="288"/>
      <c r="AR15" s="288"/>
      <c r="AS15" s="288"/>
      <c r="AT15" s="288"/>
      <c r="AU15" s="288"/>
      <c r="AV15" s="288"/>
      <c r="AW15" s="288"/>
      <c r="AX15" s="288"/>
      <c r="AY15" s="288"/>
    </row>
    <row r="16" spans="1:51" s="413" customFormat="1" ht="24.95" customHeight="1" x14ac:dyDescent="0.35">
      <c r="A16" s="487" t="s">
        <v>193</v>
      </c>
      <c r="B16" s="488">
        <v>31982</v>
      </c>
      <c r="C16" s="489">
        <f>26350*2.20462</f>
        <v>58091.736999999994</v>
      </c>
      <c r="D16" s="488" t="s">
        <v>48</v>
      </c>
      <c r="E16" s="488" t="s">
        <v>228</v>
      </c>
      <c r="F16" s="488"/>
      <c r="G16" s="488"/>
      <c r="H16" s="488" t="s">
        <v>109</v>
      </c>
      <c r="I16" s="684" t="s">
        <v>74</v>
      </c>
      <c r="J16" s="488" t="s">
        <v>75</v>
      </c>
      <c r="K16" s="488"/>
      <c r="L16" s="603" t="s">
        <v>278</v>
      </c>
      <c r="M16" s="490" t="str">
        <f>IF(OR(H16="cif", H16="cfr"), "-", "INSERT NAME HERE")</f>
        <v>-</v>
      </c>
      <c r="N16" s="503" t="s">
        <v>40</v>
      </c>
      <c r="O16" s="491">
        <f t="shared" si="1"/>
        <v>575</v>
      </c>
      <c r="P16" s="488" t="str">
        <f t="shared" si="2"/>
        <v>CAD</v>
      </c>
      <c r="Q16" s="504">
        <f t="shared" ref="Q16:Q25" si="3">IF(O16="NA","NA",(O16/C16))</f>
        <v>9.8981374924285714E-3</v>
      </c>
      <c r="R16" s="548"/>
      <c r="S16" s="550"/>
      <c r="T16" s="548"/>
      <c r="U16" s="630" t="s">
        <v>43</v>
      </c>
      <c r="V16" s="490"/>
      <c r="W16" s="549" t="s">
        <v>45</v>
      </c>
      <c r="X16" s="557">
        <f>59287.5*0.8</f>
        <v>47430</v>
      </c>
      <c r="Y16" s="498"/>
      <c r="Z16" s="579" t="s">
        <v>41</v>
      </c>
      <c r="AA16" s="498"/>
      <c r="AB16" s="498"/>
      <c r="AC16" s="827"/>
      <c r="AD16" s="501"/>
      <c r="AE16" s="396"/>
      <c r="AF16" s="288"/>
      <c r="AG16" s="288"/>
      <c r="AH16" s="288"/>
      <c r="AI16" s="288"/>
      <c r="AJ16" s="288"/>
      <c r="AK16" s="288"/>
      <c r="AL16" s="288"/>
      <c r="AM16" s="288"/>
      <c r="AN16" s="288"/>
      <c r="AO16" s="288"/>
      <c r="AP16" s="288"/>
      <c r="AQ16" s="288"/>
      <c r="AR16" s="288"/>
      <c r="AS16" s="288"/>
      <c r="AT16" s="288"/>
      <c r="AU16" s="288"/>
      <c r="AV16" s="288"/>
      <c r="AW16" s="288"/>
      <c r="AX16" s="288"/>
      <c r="AY16" s="288"/>
    </row>
    <row r="17" spans="1:52" s="413" customFormat="1" ht="24.95" customHeight="1" x14ac:dyDescent="0.35">
      <c r="A17" s="777" t="s">
        <v>193</v>
      </c>
      <c r="B17" s="522">
        <v>31986</v>
      </c>
      <c r="C17" s="521">
        <f>26350*2.20462</f>
        <v>58091.736999999994</v>
      </c>
      <c r="D17" s="522" t="s">
        <v>48</v>
      </c>
      <c r="E17" s="522" t="s">
        <v>228</v>
      </c>
      <c r="F17" s="522"/>
      <c r="G17" s="522"/>
      <c r="H17" s="522" t="s">
        <v>109</v>
      </c>
      <c r="I17" s="779" t="s">
        <v>74</v>
      </c>
      <c r="J17" s="522" t="s">
        <v>75</v>
      </c>
      <c r="K17" s="522"/>
      <c r="L17" s="780" t="s">
        <v>278</v>
      </c>
      <c r="M17" s="506" t="str">
        <f>IF(OR(H17="cif", H17="cfr"), "-", "INSERT NAME HERE")</f>
        <v>-</v>
      </c>
      <c r="N17" s="503" t="s">
        <v>40</v>
      </c>
      <c r="O17" s="538">
        <f t="shared" si="1"/>
        <v>575</v>
      </c>
      <c r="P17" s="522" t="str">
        <f t="shared" si="2"/>
        <v>CAD</v>
      </c>
      <c r="Q17" s="821">
        <f t="shared" si="3"/>
        <v>9.8981374924285714E-3</v>
      </c>
      <c r="R17" s="548"/>
      <c r="S17" s="550"/>
      <c r="T17" s="548"/>
      <c r="U17" s="630" t="s">
        <v>43</v>
      </c>
      <c r="V17" s="490"/>
      <c r="W17" s="496" t="s">
        <v>45</v>
      </c>
      <c r="X17" s="557">
        <f>59287.5*0.8</f>
        <v>47430</v>
      </c>
      <c r="Y17" s="535"/>
      <c r="Z17" s="498" t="s">
        <v>41</v>
      </c>
      <c r="AA17" s="535"/>
      <c r="AB17" s="535"/>
      <c r="AC17" s="828"/>
      <c r="AD17" s="501"/>
      <c r="AE17" s="826"/>
      <c r="AF17" s="288"/>
      <c r="AG17" s="288"/>
      <c r="AH17" s="288"/>
      <c r="AI17" s="288"/>
      <c r="AJ17" s="288"/>
      <c r="AK17" s="288"/>
      <c r="AL17" s="288"/>
      <c r="AM17" s="288"/>
      <c r="AN17" s="288"/>
      <c r="AO17" s="288"/>
      <c r="AP17" s="288"/>
      <c r="AQ17" s="288"/>
      <c r="AR17" s="288"/>
      <c r="AS17" s="288"/>
      <c r="AT17" s="288"/>
      <c r="AU17" s="288"/>
      <c r="AV17" s="288"/>
      <c r="AW17" s="288"/>
      <c r="AX17" s="288"/>
      <c r="AY17" s="288"/>
    </row>
    <row r="18" spans="1:52" s="288" customFormat="1" ht="23.25" x14ac:dyDescent="0.3">
      <c r="A18" s="838" t="s">
        <v>279</v>
      </c>
      <c r="B18" s="522">
        <v>29649</v>
      </c>
      <c r="C18" s="521">
        <v>40000</v>
      </c>
      <c r="D18" s="522" t="s">
        <v>105</v>
      </c>
      <c r="E18" s="522" t="s">
        <v>280</v>
      </c>
      <c r="F18" s="522"/>
      <c r="G18" s="522"/>
      <c r="H18" s="522" t="s">
        <v>37</v>
      </c>
      <c r="I18" s="522" t="s">
        <v>281</v>
      </c>
      <c r="J18" s="522" t="s">
        <v>120</v>
      </c>
      <c r="K18" s="522"/>
      <c r="L18" s="780" t="s">
        <v>278</v>
      </c>
      <c r="M18" s="491" t="str">
        <f>IF(OR(H18="cif", H18="cfr"), "-", "INSERT NAME HERE")</f>
        <v>INSERT NAME HERE</v>
      </c>
      <c r="N18" s="503"/>
      <c r="O18" s="538" t="str">
        <f t="shared" si="1"/>
        <v>INSERT VALUE HERE</v>
      </c>
      <c r="P18" s="488" t="str">
        <f t="shared" si="2"/>
        <v>INSERT CURRENCY</v>
      </c>
      <c r="Q18" s="519" t="e">
        <f t="shared" si="3"/>
        <v>#VALUE!</v>
      </c>
      <c r="R18" s="493"/>
      <c r="S18" s="494"/>
      <c r="T18" s="490"/>
      <c r="U18" s="505" t="s">
        <v>43</v>
      </c>
      <c r="V18" s="490"/>
      <c r="W18" s="496" t="s">
        <v>45</v>
      </c>
      <c r="X18" s="835">
        <v>122500</v>
      </c>
      <c r="Y18" s="498"/>
      <c r="Z18" s="498" t="s">
        <v>41</v>
      </c>
      <c r="AA18" s="767"/>
      <c r="AB18" s="820"/>
      <c r="AC18" s="828"/>
      <c r="AD18" s="692"/>
      <c r="AE18" s="826"/>
    </row>
    <row r="19" spans="1:52" s="288" customFormat="1" ht="23.25" x14ac:dyDescent="0.3">
      <c r="A19" s="777" t="s">
        <v>282</v>
      </c>
      <c r="B19" s="522">
        <v>32027</v>
      </c>
      <c r="C19" s="521">
        <f>25000*2.20462</f>
        <v>55115.499999999993</v>
      </c>
      <c r="D19" s="522" t="s">
        <v>48</v>
      </c>
      <c r="E19" s="522" t="s">
        <v>283</v>
      </c>
      <c r="F19" s="522"/>
      <c r="G19" s="522"/>
      <c r="H19" s="522" t="s">
        <v>51</v>
      </c>
      <c r="I19" s="522" t="s">
        <v>284</v>
      </c>
      <c r="J19" s="522" t="s">
        <v>285</v>
      </c>
      <c r="K19" s="522"/>
      <c r="L19" s="506" t="s">
        <v>278</v>
      </c>
      <c r="M19" s="490" t="str">
        <f>IF(OR(H19="cif", H19="cfr"), "-", "INSERT NAME HERE")</f>
        <v>-</v>
      </c>
      <c r="N19" s="503"/>
      <c r="O19" s="538">
        <f t="shared" si="1"/>
        <v>575</v>
      </c>
      <c r="P19" s="488" t="str">
        <f t="shared" si="2"/>
        <v>CAD</v>
      </c>
      <c r="Q19" s="519">
        <f t="shared" si="3"/>
        <v>1.0432636917019714E-2</v>
      </c>
      <c r="R19" s="493"/>
      <c r="S19" s="494"/>
      <c r="T19" s="490"/>
      <c r="U19" s="495" t="s">
        <v>43</v>
      </c>
      <c r="V19" s="490"/>
      <c r="W19" s="496" t="s">
        <v>45</v>
      </c>
      <c r="X19" s="835">
        <f>410000*0.7</f>
        <v>287000</v>
      </c>
      <c r="Y19" s="535"/>
      <c r="Z19" s="498" t="s">
        <v>41</v>
      </c>
      <c r="AA19" s="767"/>
      <c r="AB19" s="820"/>
      <c r="AC19" s="828"/>
      <c r="AD19" s="692"/>
      <c r="AE19" s="826"/>
    </row>
    <row r="20" spans="1:52" s="413" customFormat="1" ht="24.95" customHeight="1" x14ac:dyDescent="0.3">
      <c r="A20" s="777" t="s">
        <v>104</v>
      </c>
      <c r="B20" s="522">
        <v>31991</v>
      </c>
      <c r="C20" s="521">
        <f>24948*2.20462</f>
        <v>55000.859759999992</v>
      </c>
      <c r="D20" s="522" t="s">
        <v>70</v>
      </c>
      <c r="E20" s="522" t="s">
        <v>286</v>
      </c>
      <c r="F20" s="522"/>
      <c r="G20" s="522"/>
      <c r="H20" s="522" t="s">
        <v>109</v>
      </c>
      <c r="I20" s="779" t="e" vm="1">
        <v>#VALUE!</v>
      </c>
      <c r="J20" s="522" t="s">
        <v>53</v>
      </c>
      <c r="K20" s="522"/>
      <c r="L20" s="506" t="s">
        <v>278</v>
      </c>
      <c r="M20" s="809" t="str">
        <f>IF(OR(H20="cif", H20="cfr"), "-", "INSERT NAME HERE")</f>
        <v>-</v>
      </c>
      <c r="N20" s="819" t="s">
        <v>40</v>
      </c>
      <c r="O20" s="538">
        <f t="shared" si="1"/>
        <v>575</v>
      </c>
      <c r="P20" s="522" t="str">
        <f t="shared" si="2"/>
        <v>CAD</v>
      </c>
      <c r="Q20" s="504">
        <f t="shared" si="3"/>
        <v>1.0454382031645537E-2</v>
      </c>
      <c r="R20" s="490" t="s">
        <v>42</v>
      </c>
      <c r="S20" s="492" t="s">
        <v>42</v>
      </c>
      <c r="T20" s="490"/>
      <c r="U20" s="505" t="s">
        <v>43</v>
      </c>
      <c r="V20" s="490"/>
      <c r="W20" s="496" t="s">
        <v>45</v>
      </c>
      <c r="X20" s="497">
        <v>43153</v>
      </c>
      <c r="Y20" s="498" t="s">
        <v>68</v>
      </c>
      <c r="Z20" s="498" t="s">
        <v>41</v>
      </c>
      <c r="AA20" s="767"/>
      <c r="AB20" s="506"/>
      <c r="AC20" s="506"/>
      <c r="AD20" s="808"/>
      <c r="AE20" s="754"/>
      <c r="AF20" s="288"/>
      <c r="AG20" s="288"/>
      <c r="AH20" s="288"/>
      <c r="AI20" s="288"/>
      <c r="AJ20" s="288"/>
      <c r="AK20" s="288"/>
      <c r="AL20" s="288"/>
      <c r="AM20" s="288"/>
      <c r="AN20" s="288"/>
      <c r="AO20" s="288"/>
      <c r="AP20" s="288"/>
      <c r="AQ20" s="288"/>
      <c r="AR20" s="288"/>
      <c r="AS20" s="288"/>
      <c r="AT20" s="288"/>
      <c r="AU20" s="288"/>
      <c r="AV20" s="288"/>
      <c r="AW20" s="288"/>
      <c r="AX20" s="288"/>
      <c r="AY20" s="288"/>
    </row>
    <row r="21" spans="1:52" s="413" customFormat="1" ht="24.95" customHeight="1" x14ac:dyDescent="0.3">
      <c r="A21" s="487" t="s">
        <v>287</v>
      </c>
      <c r="B21" s="488">
        <v>32054</v>
      </c>
      <c r="C21" s="489">
        <f>19500*2.20462</f>
        <v>42990.09</v>
      </c>
      <c r="D21" s="488" t="s">
        <v>70</v>
      </c>
      <c r="E21" s="488" t="s">
        <v>288</v>
      </c>
      <c r="F21" s="488"/>
      <c r="G21" s="488" t="s">
        <v>119</v>
      </c>
      <c r="H21" s="488" t="s">
        <v>37</v>
      </c>
      <c r="I21" s="684" t="s">
        <v>97</v>
      </c>
      <c r="J21" s="488" t="s">
        <v>98</v>
      </c>
      <c r="K21" s="488"/>
      <c r="L21" s="490" t="s">
        <v>278</v>
      </c>
      <c r="M21" s="809" t="s">
        <v>243</v>
      </c>
      <c r="N21" s="819" t="s">
        <v>40</v>
      </c>
      <c r="O21" s="538">
        <v>2900</v>
      </c>
      <c r="P21" s="522" t="s">
        <v>41</v>
      </c>
      <c r="Q21" s="504">
        <f t="shared" si="3"/>
        <v>6.7457407044274623E-2</v>
      </c>
      <c r="R21" s="490"/>
      <c r="S21" s="492"/>
      <c r="T21" s="490"/>
      <c r="U21" s="505" t="s">
        <v>43</v>
      </c>
      <c r="V21" s="490"/>
      <c r="W21" s="496" t="s">
        <v>45</v>
      </c>
      <c r="X21" s="835">
        <v>59010.41</v>
      </c>
      <c r="Y21" s="498"/>
      <c r="Z21" s="535" t="s">
        <v>41</v>
      </c>
      <c r="AA21" s="767"/>
      <c r="AB21" s="506"/>
      <c r="AC21" s="490"/>
      <c r="AD21" s="548"/>
      <c r="AE21" s="286"/>
      <c r="AF21" s="288"/>
      <c r="AG21" s="288"/>
      <c r="AH21" s="288"/>
      <c r="AI21" s="288"/>
      <c r="AJ21" s="288"/>
      <c r="AK21" s="288"/>
      <c r="AL21" s="288"/>
      <c r="AM21" s="288"/>
      <c r="AN21" s="288"/>
      <c r="AO21" s="288"/>
      <c r="AP21" s="288"/>
      <c r="AQ21" s="288"/>
      <c r="AR21" s="288"/>
      <c r="AS21" s="288"/>
      <c r="AT21" s="288"/>
      <c r="AU21" s="288"/>
      <c r="AV21" s="288"/>
      <c r="AW21" s="288"/>
      <c r="AX21" s="288"/>
      <c r="AY21" s="288"/>
      <c r="AZ21" s="288"/>
    </row>
    <row r="22" spans="1:52" s="288" customFormat="1" ht="24.95" customHeight="1" x14ac:dyDescent="0.35">
      <c r="A22" s="487" t="s">
        <v>241</v>
      </c>
      <c r="B22" s="488">
        <v>32111</v>
      </c>
      <c r="C22" s="489">
        <f>25000*2.20462</f>
        <v>55115.499999999993</v>
      </c>
      <c r="D22" s="488" t="s">
        <v>70</v>
      </c>
      <c r="E22" s="488" t="s">
        <v>293</v>
      </c>
      <c r="F22" s="488"/>
      <c r="G22" s="488"/>
      <c r="H22" s="488" t="s">
        <v>109</v>
      </c>
      <c r="I22" s="684" t="s">
        <v>74</v>
      </c>
      <c r="J22" s="488" t="s">
        <v>75</v>
      </c>
      <c r="K22" s="488"/>
      <c r="L22" s="603" t="s">
        <v>278</v>
      </c>
      <c r="M22" s="810" t="str">
        <f>IF(OR(H22="cif", H22="cfr"), "-", "INSERT NAME HERE")</f>
        <v>-</v>
      </c>
      <c r="N22" s="488" t="s">
        <v>40</v>
      </c>
      <c r="O22" s="491">
        <f>IF(OR(H22="cif", H22="cfr"), 575, "INSERT VALUE HERE")</f>
        <v>575</v>
      </c>
      <c r="P22" s="488" t="s">
        <v>41</v>
      </c>
      <c r="Q22" s="504">
        <f t="shared" si="3"/>
        <v>1.0432636917019714E-2</v>
      </c>
      <c r="R22" s="548"/>
      <c r="S22" s="550"/>
      <c r="T22" s="548"/>
      <c r="U22" s="630"/>
      <c r="V22" s="490"/>
      <c r="W22" s="549" t="s">
        <v>45</v>
      </c>
      <c r="X22" s="497">
        <f>47500-6155</f>
        <v>41345</v>
      </c>
      <c r="Y22" s="498"/>
      <c r="Z22" s="498" t="s">
        <v>41</v>
      </c>
      <c r="AA22" s="498"/>
      <c r="AB22" s="637"/>
      <c r="AC22" s="490"/>
      <c r="AD22" s="501"/>
      <c r="AE22" s="298"/>
    </row>
    <row r="23" spans="1:52" s="288" customFormat="1" ht="24.95" customHeight="1" x14ac:dyDescent="0.35">
      <c r="A23" s="487" t="s">
        <v>241</v>
      </c>
      <c r="B23" s="488">
        <v>32113</v>
      </c>
      <c r="C23" s="489">
        <f>25000*2.20462</f>
        <v>55115.499999999993</v>
      </c>
      <c r="D23" s="488" t="s">
        <v>70</v>
      </c>
      <c r="E23" s="488" t="s">
        <v>293</v>
      </c>
      <c r="F23" s="488"/>
      <c r="G23" s="488"/>
      <c r="H23" s="488" t="s">
        <v>109</v>
      </c>
      <c r="I23" s="684" t="s">
        <v>74</v>
      </c>
      <c r="J23" s="488" t="s">
        <v>75</v>
      </c>
      <c r="K23" s="488"/>
      <c r="L23" s="603" t="s">
        <v>278</v>
      </c>
      <c r="M23" s="810" t="str">
        <f>IF(OR(H23="cif", H23="cfr"), "-", "INSERT NAME HERE")</f>
        <v>-</v>
      </c>
      <c r="N23" s="488" t="s">
        <v>40</v>
      </c>
      <c r="O23" s="491">
        <f>IF(OR(H23="cif", H23="cfr"), 575, "INSERT VALUE HERE")</f>
        <v>575</v>
      </c>
      <c r="P23" s="488" t="s">
        <v>41</v>
      </c>
      <c r="Q23" s="504">
        <f t="shared" si="3"/>
        <v>1.0432636917019714E-2</v>
      </c>
      <c r="R23" s="548"/>
      <c r="S23" s="550"/>
      <c r="T23" s="548"/>
      <c r="U23" s="630"/>
      <c r="V23" s="490"/>
      <c r="W23" s="549" t="s">
        <v>45</v>
      </c>
      <c r="X23" s="497">
        <v>43750</v>
      </c>
      <c r="Y23" s="498"/>
      <c r="Z23" s="498" t="s">
        <v>41</v>
      </c>
      <c r="AA23" s="498"/>
      <c r="AB23" s="637"/>
      <c r="AC23" s="490"/>
      <c r="AD23" s="501"/>
      <c r="AE23" s="298"/>
    </row>
    <row r="24" spans="1:52" s="288" customFormat="1" ht="24.95" customHeight="1" x14ac:dyDescent="0.35">
      <c r="A24" s="487" t="s">
        <v>241</v>
      </c>
      <c r="B24" s="488">
        <v>32115</v>
      </c>
      <c r="C24" s="489">
        <f>25000*2.20462</f>
        <v>55115.499999999993</v>
      </c>
      <c r="D24" s="488" t="s">
        <v>70</v>
      </c>
      <c r="E24" s="488" t="s">
        <v>293</v>
      </c>
      <c r="F24" s="488"/>
      <c r="G24" s="488"/>
      <c r="H24" s="488" t="s">
        <v>109</v>
      </c>
      <c r="I24" s="684" t="s">
        <v>74</v>
      </c>
      <c r="J24" s="488" t="s">
        <v>75</v>
      </c>
      <c r="K24" s="488"/>
      <c r="L24" s="603" t="s">
        <v>278</v>
      </c>
      <c r="M24" s="810" t="str">
        <f>IF(OR(H24="cif", H24="cfr"), "-", "INSERT NAME HERE")</f>
        <v>-</v>
      </c>
      <c r="N24" s="488" t="s">
        <v>40</v>
      </c>
      <c r="O24" s="491">
        <f>IF(OR(H24="cif", H24="cfr"), 575, "INSERT VALUE HERE")</f>
        <v>575</v>
      </c>
      <c r="P24" s="488" t="s">
        <v>41</v>
      </c>
      <c r="Q24" s="504">
        <f t="shared" si="3"/>
        <v>1.0432636917019714E-2</v>
      </c>
      <c r="R24" s="548"/>
      <c r="S24" s="550"/>
      <c r="T24" s="548"/>
      <c r="U24" s="630"/>
      <c r="V24" s="490"/>
      <c r="W24" s="549" t="s">
        <v>45</v>
      </c>
      <c r="X24" s="497">
        <v>43750</v>
      </c>
      <c r="Y24" s="498"/>
      <c r="Z24" s="498" t="s">
        <v>41</v>
      </c>
      <c r="AA24" s="498"/>
      <c r="AB24" s="637"/>
      <c r="AC24" s="490"/>
      <c r="AD24" s="501"/>
      <c r="AE24" s="298"/>
    </row>
    <row r="25" spans="1:52" s="288" customFormat="1" ht="69.75" x14ac:dyDescent="0.35">
      <c r="A25" s="777" t="s">
        <v>294</v>
      </c>
      <c r="B25" s="778" t="s">
        <v>295</v>
      </c>
      <c r="C25" s="521">
        <v>51808.569999999992</v>
      </c>
      <c r="D25" s="522" t="s">
        <v>94</v>
      </c>
      <c r="E25" s="778" t="s">
        <v>296</v>
      </c>
      <c r="F25" s="522"/>
      <c r="G25" s="522"/>
      <c r="H25" s="522" t="s">
        <v>109</v>
      </c>
      <c r="I25" s="850" t="s">
        <v>74</v>
      </c>
      <c r="J25" s="522" t="s">
        <v>75</v>
      </c>
      <c r="K25" s="522"/>
      <c r="L25" s="780" t="s">
        <v>278</v>
      </c>
      <c r="M25" s="810" t="s">
        <v>42</v>
      </c>
      <c r="N25" s="488" t="s">
        <v>40</v>
      </c>
      <c r="O25" s="538">
        <f>IF(OR(H25="cif", H25="cfr"), 575, "INSERT VALUE HERE")</f>
        <v>575</v>
      </c>
      <c r="P25" s="488" t="s">
        <v>41</v>
      </c>
      <c r="Q25" s="504">
        <f t="shared" si="3"/>
        <v>1.1098549911723101E-2</v>
      </c>
      <c r="R25" s="548"/>
      <c r="S25" s="550"/>
      <c r="T25" s="548"/>
      <c r="U25" s="630"/>
      <c r="V25" s="490"/>
      <c r="W25" s="549" t="s">
        <v>45</v>
      </c>
      <c r="X25" s="497">
        <f>22250+89970+62250</f>
        <v>174470</v>
      </c>
      <c r="Y25" s="498" t="s">
        <v>46</v>
      </c>
      <c r="Z25" s="498" t="s">
        <v>41</v>
      </c>
      <c r="AA25" s="535"/>
      <c r="AB25" s="637"/>
      <c r="AC25" s="506"/>
      <c r="AD25" s="753"/>
      <c r="AE25" s="814"/>
    </row>
    <row r="26" spans="1:52" s="288" customFormat="1" ht="23.25" x14ac:dyDescent="0.3">
      <c r="A26" s="251"/>
      <c r="B26" s="251"/>
      <c r="C26" s="251"/>
      <c r="D26" s="251"/>
      <c r="E26" s="251"/>
      <c r="F26" s="251"/>
      <c r="G26" s="251"/>
      <c r="H26" s="251"/>
      <c r="I26" s="251"/>
      <c r="J26" s="251"/>
      <c r="K26" s="251"/>
      <c r="L26" s="251"/>
      <c r="M26" s="251"/>
      <c r="N26" s="251"/>
      <c r="O26" s="251"/>
      <c r="P26" s="251"/>
      <c r="Q26" s="251"/>
      <c r="R26" s="251"/>
      <c r="S26" s="251"/>
      <c r="T26" s="251"/>
      <c r="U26" s="251"/>
      <c r="V26" s="251"/>
      <c r="W26" s="206"/>
      <c r="X26" s="251"/>
      <c r="Y26" s="251"/>
      <c r="Z26" s="251"/>
      <c r="AA26" s="251"/>
      <c r="AB26" s="251"/>
      <c r="AC26" s="852"/>
      <c r="AD26" s="251"/>
      <c r="AE26" s="830"/>
      <c r="AF26" s="680"/>
    </row>
    <row r="27" spans="1:52" s="413" customFormat="1" ht="24.95" customHeight="1" thickBot="1" x14ac:dyDescent="0.4">
      <c r="A27" s="749"/>
      <c r="B27" s="537"/>
      <c r="C27" s="750"/>
      <c r="D27" s="537"/>
      <c r="E27" s="537"/>
      <c r="F27" s="537"/>
      <c r="G27" s="537"/>
      <c r="H27" s="537"/>
      <c r="I27" s="537"/>
      <c r="J27" s="537"/>
      <c r="K27" s="537"/>
      <c r="L27" s="751"/>
      <c r="M27" s="740"/>
      <c r="N27" s="537"/>
      <c r="O27" s="538"/>
      <c r="P27" s="537"/>
      <c r="Q27" s="782"/>
      <c r="R27" s="781"/>
      <c r="S27" s="782"/>
      <c r="T27" s="783"/>
      <c r="U27" s="752"/>
      <c r="V27" s="784"/>
      <c r="W27" s="804"/>
      <c r="X27" s="805"/>
      <c r="Y27" s="637"/>
      <c r="Z27" s="653"/>
      <c r="AA27" s="767"/>
      <c r="AB27" s="535"/>
      <c r="AC27" s="506"/>
      <c r="AD27" s="753"/>
      <c r="AE27" s="754"/>
      <c r="AF27" s="288"/>
      <c r="AG27" s="288"/>
      <c r="AH27" s="288"/>
      <c r="AI27" s="288"/>
      <c r="AJ27" s="288"/>
      <c r="AK27" s="288"/>
      <c r="AL27" s="288"/>
      <c r="AM27" s="288"/>
      <c r="AN27" s="288"/>
      <c r="AO27" s="288"/>
      <c r="AP27" s="288"/>
      <c r="AQ27" s="288"/>
      <c r="AR27" s="288"/>
      <c r="AS27" s="288"/>
      <c r="AT27" s="288"/>
      <c r="AU27" s="288"/>
      <c r="AV27" s="288"/>
      <c r="AW27" s="288"/>
      <c r="AX27" s="288"/>
      <c r="AY27" s="288"/>
    </row>
    <row r="28" spans="1:52" s="806" customFormat="1" ht="24.95" customHeight="1" thickBot="1" x14ac:dyDescent="0.25">
      <c r="A28" s="831" t="s">
        <v>297</v>
      </c>
      <c r="B28" s="832"/>
      <c r="C28" s="832"/>
      <c r="D28" s="832"/>
      <c r="E28" s="832"/>
      <c r="F28" s="832"/>
      <c r="G28" s="832"/>
      <c r="H28" s="832"/>
      <c r="I28" s="832"/>
      <c r="J28" s="832"/>
      <c r="K28" s="832"/>
      <c r="L28" s="832"/>
      <c r="M28" s="832"/>
      <c r="N28" s="832"/>
      <c r="O28" s="832"/>
      <c r="P28" s="832"/>
      <c r="Q28" s="832"/>
      <c r="R28" s="832"/>
      <c r="S28" s="832"/>
      <c r="T28" s="832"/>
      <c r="U28" s="832"/>
      <c r="V28" s="832"/>
      <c r="W28" s="832"/>
      <c r="X28" s="832"/>
      <c r="Y28" s="832"/>
      <c r="Z28" s="832"/>
      <c r="AA28" s="832"/>
      <c r="AB28" s="832"/>
      <c r="AC28" s="832"/>
      <c r="AD28" s="832"/>
      <c r="AE28" s="832"/>
      <c r="AF28" s="832"/>
      <c r="AG28" s="832"/>
      <c r="AH28" s="832"/>
      <c r="AI28" s="832"/>
      <c r="AJ28" s="832"/>
      <c r="AK28" s="832"/>
      <c r="AL28" s="832"/>
      <c r="AM28" s="832"/>
      <c r="AN28" s="832"/>
      <c r="AO28" s="832"/>
      <c r="AP28" s="832"/>
      <c r="AQ28" s="832"/>
      <c r="AR28" s="832"/>
      <c r="AS28" s="832"/>
      <c r="AT28" s="832"/>
      <c r="AU28" s="832"/>
      <c r="AV28" s="832"/>
      <c r="AW28" s="832"/>
      <c r="AX28" s="832"/>
      <c r="AY28" s="832"/>
    </row>
    <row r="29" spans="1:52" s="413" customFormat="1" ht="24.95" customHeight="1" x14ac:dyDescent="0.35">
      <c r="A29" s="755"/>
      <c r="B29" s="756"/>
      <c r="C29" s="757"/>
      <c r="D29" s="758"/>
      <c r="E29" s="756"/>
      <c r="F29" s="756"/>
      <c r="G29" s="756"/>
      <c r="H29" s="756"/>
      <c r="I29" s="756"/>
      <c r="J29" s="756"/>
      <c r="K29" s="756"/>
      <c r="L29" s="759"/>
      <c r="M29" s="648"/>
      <c r="N29" s="756"/>
      <c r="O29" s="760"/>
      <c r="P29" s="756"/>
      <c r="Q29" s="761"/>
      <c r="R29" s="762"/>
      <c r="S29" s="761"/>
      <c r="T29" s="763"/>
      <c r="U29" s="556"/>
      <c r="V29" s="648"/>
      <c r="W29" s="763"/>
      <c r="X29" s="764"/>
      <c r="Y29" s="653"/>
      <c r="AA29" s="766"/>
      <c r="AB29" s="637"/>
      <c r="AC29" s="548"/>
      <c r="AD29" s="546"/>
      <c r="AE29" s="765"/>
      <c r="AF29" s="288"/>
      <c r="AG29" s="288"/>
      <c r="AH29" s="288"/>
      <c r="AI29" s="288"/>
      <c r="AJ29" s="288"/>
      <c r="AK29" s="288"/>
      <c r="AL29" s="288"/>
      <c r="AM29" s="288"/>
      <c r="AN29" s="288"/>
      <c r="AO29" s="288"/>
      <c r="AP29" s="288"/>
      <c r="AQ29" s="288"/>
      <c r="AR29" s="288"/>
      <c r="AS29" s="288"/>
      <c r="AT29" s="288"/>
      <c r="AU29" s="288"/>
      <c r="AV29" s="288"/>
      <c r="AW29" s="288"/>
      <c r="AX29" s="288"/>
      <c r="AY29" s="288"/>
    </row>
    <row r="30" spans="1:52" s="413" customFormat="1" ht="24.95" customHeight="1" x14ac:dyDescent="0.3">
      <c r="A30" s="508" t="s">
        <v>298</v>
      </c>
      <c r="B30" s="509">
        <v>30998</v>
      </c>
      <c r="C30" s="510">
        <f>50*915</f>
        <v>45750</v>
      </c>
      <c r="D30" s="509" t="s">
        <v>249</v>
      </c>
      <c r="E30" s="509" t="s">
        <v>299</v>
      </c>
      <c r="F30" s="509"/>
      <c r="G30" s="509"/>
      <c r="H30" s="509" t="s">
        <v>37</v>
      </c>
      <c r="I30" s="509" t="s">
        <v>300</v>
      </c>
      <c r="J30" s="509" t="s">
        <v>301</v>
      </c>
      <c r="K30" s="509"/>
      <c r="L30" s="511" t="s">
        <v>302</v>
      </c>
      <c r="M30" s="511"/>
      <c r="N30" s="509"/>
      <c r="O30" s="491" t="str">
        <f t="shared" ref="O30:O59" si="4">IF(OR(H30="cif", H30="cfr"), 575, "INSERT VALUE HERE")</f>
        <v>INSERT VALUE HERE</v>
      </c>
      <c r="P30" s="509" t="str">
        <f t="shared" ref="P30:P59" si="5">IF(O30=575,"CAD","INSERT CURRENCY")</f>
        <v>INSERT CURRENCY</v>
      </c>
      <c r="Q30" s="512"/>
      <c r="R30" s="514"/>
      <c r="S30" s="513"/>
      <c r="T30" s="515"/>
      <c r="U30" s="516"/>
      <c r="V30" s="511"/>
      <c r="W30" s="515"/>
      <c r="X30" s="738">
        <v>217888.95</v>
      </c>
      <c r="Y30" s="515" t="s">
        <v>215</v>
      </c>
      <c r="AA30" s="767"/>
      <c r="AB30" s="767"/>
      <c r="AC30" s="490"/>
      <c r="AD30" s="488"/>
      <c r="AE30" s="286"/>
      <c r="AF30" s="288"/>
      <c r="AG30" s="288"/>
      <c r="AH30" s="288"/>
      <c r="AI30" s="288"/>
      <c r="AJ30" s="288"/>
      <c r="AK30" s="288"/>
      <c r="AL30" s="288"/>
      <c r="AM30" s="288"/>
      <c r="AN30" s="288"/>
      <c r="AO30" s="288"/>
      <c r="AP30" s="288"/>
      <c r="AQ30" s="288"/>
      <c r="AR30" s="288"/>
      <c r="AS30" s="288"/>
      <c r="AT30" s="288"/>
      <c r="AU30" s="288"/>
      <c r="AV30" s="288"/>
      <c r="AW30" s="288"/>
      <c r="AX30" s="288"/>
      <c r="AY30" s="288"/>
    </row>
    <row r="31" spans="1:52" s="413" customFormat="1" ht="24.95" customHeight="1" x14ac:dyDescent="0.3">
      <c r="A31" s="508" t="s">
        <v>298</v>
      </c>
      <c r="B31" s="509">
        <v>31552</v>
      </c>
      <c r="C31" s="510">
        <f>50*915</f>
        <v>45750</v>
      </c>
      <c r="D31" s="509" t="s">
        <v>249</v>
      </c>
      <c r="E31" s="509" t="s">
        <v>299</v>
      </c>
      <c r="F31" s="509"/>
      <c r="G31" s="509"/>
      <c r="H31" s="509" t="s">
        <v>37</v>
      </c>
      <c r="I31" s="509" t="s">
        <v>300</v>
      </c>
      <c r="J31" s="509" t="s">
        <v>301</v>
      </c>
      <c r="K31" s="509"/>
      <c r="L31" s="511" t="s">
        <v>302</v>
      </c>
      <c r="M31" s="511"/>
      <c r="N31" s="509"/>
      <c r="O31" s="491" t="str">
        <f t="shared" si="4"/>
        <v>INSERT VALUE HERE</v>
      </c>
      <c r="P31" s="509" t="str">
        <f t="shared" si="5"/>
        <v>INSERT CURRENCY</v>
      </c>
      <c r="Q31" s="512"/>
      <c r="R31" s="514"/>
      <c r="S31" s="513"/>
      <c r="T31" s="515"/>
      <c r="U31" s="516"/>
      <c r="V31" s="511"/>
      <c r="W31" s="515"/>
      <c r="X31" s="738">
        <v>217888.95</v>
      </c>
      <c r="Y31" s="515" t="s">
        <v>215</v>
      </c>
      <c r="AA31" s="767"/>
      <c r="AB31" s="767"/>
      <c r="AC31" s="490"/>
      <c r="AD31" s="488"/>
      <c r="AE31" s="286"/>
      <c r="AF31" s="288"/>
      <c r="AG31" s="288"/>
      <c r="AH31" s="288"/>
      <c r="AI31" s="288"/>
      <c r="AJ31" s="288"/>
      <c r="AK31" s="288"/>
      <c r="AL31" s="288"/>
      <c r="AM31" s="288"/>
      <c r="AN31" s="288"/>
      <c r="AO31" s="288"/>
      <c r="AP31" s="288"/>
      <c r="AQ31" s="288"/>
      <c r="AR31" s="288"/>
      <c r="AS31" s="288"/>
      <c r="AT31" s="288"/>
      <c r="AU31" s="288"/>
      <c r="AV31" s="288"/>
      <c r="AW31" s="288"/>
      <c r="AX31" s="288"/>
      <c r="AY31" s="288"/>
    </row>
    <row r="32" spans="1:52" s="413" customFormat="1" ht="24.95" customHeight="1" x14ac:dyDescent="0.3">
      <c r="A32" s="508" t="s">
        <v>298</v>
      </c>
      <c r="B32" s="509">
        <v>31554</v>
      </c>
      <c r="C32" s="510">
        <f>50*915</f>
        <v>45750</v>
      </c>
      <c r="D32" s="509" t="s">
        <v>249</v>
      </c>
      <c r="E32" s="509" t="s">
        <v>299</v>
      </c>
      <c r="F32" s="509"/>
      <c r="G32" s="509"/>
      <c r="H32" s="509" t="s">
        <v>37</v>
      </c>
      <c r="I32" s="509" t="s">
        <v>300</v>
      </c>
      <c r="J32" s="509" t="s">
        <v>301</v>
      </c>
      <c r="K32" s="509"/>
      <c r="L32" s="511" t="s">
        <v>302</v>
      </c>
      <c r="M32" s="511"/>
      <c r="N32" s="509"/>
      <c r="O32" s="491" t="str">
        <f t="shared" si="4"/>
        <v>INSERT VALUE HERE</v>
      </c>
      <c r="P32" s="509" t="str">
        <f t="shared" si="5"/>
        <v>INSERT CURRENCY</v>
      </c>
      <c r="Q32" s="512"/>
      <c r="R32" s="514"/>
      <c r="S32" s="513"/>
      <c r="T32" s="515"/>
      <c r="U32" s="516"/>
      <c r="V32" s="511"/>
      <c r="W32" s="515"/>
      <c r="X32" s="738">
        <v>217888.95</v>
      </c>
      <c r="Y32" s="515" t="s">
        <v>215</v>
      </c>
      <c r="AA32" s="767"/>
      <c r="AB32" s="767"/>
      <c r="AC32" s="490"/>
      <c r="AD32" s="488"/>
      <c r="AE32" s="286"/>
      <c r="AF32" s="288"/>
      <c r="AG32" s="288"/>
      <c r="AH32" s="288"/>
      <c r="AI32" s="288"/>
      <c r="AJ32" s="288"/>
      <c r="AK32" s="288"/>
      <c r="AL32" s="288"/>
      <c r="AM32" s="288"/>
      <c r="AN32" s="288"/>
      <c r="AO32" s="288"/>
      <c r="AP32" s="288"/>
      <c r="AQ32" s="288"/>
      <c r="AR32" s="288"/>
      <c r="AS32" s="288"/>
      <c r="AT32" s="288"/>
      <c r="AU32" s="288"/>
      <c r="AV32" s="288"/>
      <c r="AW32" s="288"/>
      <c r="AX32" s="288"/>
      <c r="AY32" s="288"/>
    </row>
    <row r="33" spans="1:51" s="413" customFormat="1" ht="24.95" customHeight="1" x14ac:dyDescent="0.3">
      <c r="A33" s="508" t="s">
        <v>298</v>
      </c>
      <c r="B33" s="509">
        <v>31555</v>
      </c>
      <c r="C33" s="510">
        <f>50*915</f>
        <v>45750</v>
      </c>
      <c r="D33" s="509" t="s">
        <v>249</v>
      </c>
      <c r="E33" s="509" t="s">
        <v>299</v>
      </c>
      <c r="F33" s="509"/>
      <c r="G33" s="509"/>
      <c r="H33" s="509" t="s">
        <v>37</v>
      </c>
      <c r="I33" s="509" t="s">
        <v>300</v>
      </c>
      <c r="J33" s="509" t="s">
        <v>301</v>
      </c>
      <c r="K33" s="509"/>
      <c r="L33" s="511" t="s">
        <v>302</v>
      </c>
      <c r="M33" s="511"/>
      <c r="N33" s="509"/>
      <c r="O33" s="491" t="str">
        <f t="shared" si="4"/>
        <v>INSERT VALUE HERE</v>
      </c>
      <c r="P33" s="509" t="str">
        <f t="shared" si="5"/>
        <v>INSERT CURRENCY</v>
      </c>
      <c r="Q33" s="512"/>
      <c r="R33" s="514"/>
      <c r="S33" s="513"/>
      <c r="T33" s="515"/>
      <c r="U33" s="516"/>
      <c r="V33" s="511"/>
      <c r="W33" s="515"/>
      <c r="X33" s="738">
        <v>217888.95</v>
      </c>
      <c r="Y33" s="515" t="s">
        <v>215</v>
      </c>
      <c r="AA33" s="767"/>
      <c r="AB33" s="767"/>
      <c r="AC33" s="490"/>
      <c r="AD33" s="488"/>
      <c r="AE33" s="286"/>
      <c r="AF33" s="288"/>
      <c r="AG33" s="288"/>
      <c r="AH33" s="288"/>
      <c r="AI33" s="288"/>
      <c r="AJ33" s="288"/>
      <c r="AK33" s="288"/>
      <c r="AL33" s="288"/>
      <c r="AM33" s="288"/>
      <c r="AN33" s="288"/>
      <c r="AO33" s="288"/>
      <c r="AP33" s="288"/>
      <c r="AQ33" s="288"/>
      <c r="AR33" s="288"/>
      <c r="AS33" s="288"/>
      <c r="AT33" s="288"/>
      <c r="AU33" s="288"/>
      <c r="AV33" s="288"/>
      <c r="AW33" s="288"/>
      <c r="AX33" s="288"/>
      <c r="AY33" s="288"/>
    </row>
    <row r="34" spans="1:51" s="413" customFormat="1" ht="24.95" customHeight="1" x14ac:dyDescent="0.3">
      <c r="A34" s="508" t="s">
        <v>298</v>
      </c>
      <c r="B34" s="509">
        <v>30999</v>
      </c>
      <c r="C34" s="510">
        <f>50*881</f>
        <v>44050</v>
      </c>
      <c r="D34" s="509" t="s">
        <v>249</v>
      </c>
      <c r="E34" s="509" t="s">
        <v>303</v>
      </c>
      <c r="F34" s="509"/>
      <c r="G34" s="509"/>
      <c r="H34" s="509" t="s">
        <v>37</v>
      </c>
      <c r="I34" s="509" t="s">
        <v>300</v>
      </c>
      <c r="J34" s="509" t="s">
        <v>301</v>
      </c>
      <c r="K34" s="509"/>
      <c r="L34" s="511" t="s">
        <v>302</v>
      </c>
      <c r="M34" s="511"/>
      <c r="N34" s="509"/>
      <c r="O34" s="491" t="str">
        <f t="shared" si="4"/>
        <v>INSERT VALUE HERE</v>
      </c>
      <c r="P34" s="509" t="str">
        <f t="shared" si="5"/>
        <v>INSERT CURRENCY</v>
      </c>
      <c r="Q34" s="512"/>
      <c r="R34" s="514"/>
      <c r="S34" s="513"/>
      <c r="T34" s="515"/>
      <c r="U34" s="516"/>
      <c r="V34" s="511"/>
      <c r="W34" s="515"/>
      <c r="X34" s="738">
        <v>244759.42</v>
      </c>
      <c r="Y34" s="515" t="s">
        <v>215</v>
      </c>
      <c r="AA34" s="767"/>
      <c r="AB34" s="767"/>
      <c r="AC34" s="490"/>
      <c r="AD34" s="631"/>
      <c r="AE34" s="286"/>
      <c r="AF34" s="288"/>
      <c r="AG34" s="288"/>
      <c r="AH34" s="288"/>
      <c r="AI34" s="288"/>
      <c r="AJ34" s="288"/>
      <c r="AK34" s="288"/>
      <c r="AL34" s="288"/>
      <c r="AM34" s="288"/>
      <c r="AN34" s="288"/>
      <c r="AO34" s="288"/>
      <c r="AP34" s="288"/>
      <c r="AQ34" s="288"/>
      <c r="AR34" s="288"/>
      <c r="AS34" s="288"/>
      <c r="AT34" s="288"/>
      <c r="AU34" s="288"/>
      <c r="AV34" s="288"/>
      <c r="AW34" s="288"/>
      <c r="AX34" s="288"/>
      <c r="AY34" s="288"/>
    </row>
    <row r="35" spans="1:51" s="288" customFormat="1" ht="24.95" customHeight="1" x14ac:dyDescent="0.3">
      <c r="A35" s="487" t="s">
        <v>47</v>
      </c>
      <c r="B35" s="488">
        <v>31162</v>
      </c>
      <c r="C35" s="489">
        <v>55000</v>
      </c>
      <c r="D35" s="488" t="s">
        <v>48</v>
      </c>
      <c r="E35" s="488" t="s">
        <v>49</v>
      </c>
      <c r="F35" s="488"/>
      <c r="G35" s="488"/>
      <c r="H35" s="488" t="s">
        <v>51</v>
      </c>
      <c r="I35" s="488" t="s">
        <v>52</v>
      </c>
      <c r="J35" s="488" t="s">
        <v>53</v>
      </c>
      <c r="K35" s="488"/>
      <c r="L35" s="490" t="s">
        <v>304</v>
      </c>
      <c r="M35" s="490"/>
      <c r="N35" s="503"/>
      <c r="O35" s="491">
        <f t="shared" si="4"/>
        <v>575</v>
      </c>
      <c r="P35" s="488" t="str">
        <f t="shared" si="5"/>
        <v>CAD</v>
      </c>
      <c r="Q35" s="519">
        <f t="shared" ref="Q35:Q58" si="6">IF(O35="NA","NA",(O35/C35))</f>
        <v>1.0454545454545454E-2</v>
      </c>
      <c r="R35" s="493"/>
      <c r="S35" s="494"/>
      <c r="T35" s="490"/>
      <c r="U35" s="495" t="s">
        <v>43</v>
      </c>
      <c r="V35" s="490"/>
      <c r="W35" s="496"/>
      <c r="X35" s="497">
        <v>29879</v>
      </c>
      <c r="Y35" s="498" t="s">
        <v>46</v>
      </c>
      <c r="AA35" s="767"/>
      <c r="AB35" s="500"/>
      <c r="AC35" s="490"/>
      <c r="AD35" s="529" t="s">
        <v>54</v>
      </c>
      <c r="AE35" s="286"/>
    </row>
    <row r="36" spans="1:51" s="288" customFormat="1" ht="24.95" customHeight="1" x14ac:dyDescent="0.3">
      <c r="A36" s="487" t="s">
        <v>47</v>
      </c>
      <c r="B36" s="488">
        <v>31163</v>
      </c>
      <c r="C36" s="489">
        <v>55000</v>
      </c>
      <c r="D36" s="488" t="s">
        <v>48</v>
      </c>
      <c r="E36" s="488" t="s">
        <v>49</v>
      </c>
      <c r="F36" s="488"/>
      <c r="G36" s="488"/>
      <c r="H36" s="488" t="s">
        <v>51</v>
      </c>
      <c r="I36" s="488" t="s">
        <v>52</v>
      </c>
      <c r="J36" s="488" t="s">
        <v>53</v>
      </c>
      <c r="K36" s="488"/>
      <c r="L36" s="490" t="s">
        <v>305</v>
      </c>
      <c r="M36" s="490"/>
      <c r="N36" s="503"/>
      <c r="O36" s="491">
        <f t="shared" si="4"/>
        <v>575</v>
      </c>
      <c r="P36" s="488" t="str">
        <f t="shared" si="5"/>
        <v>CAD</v>
      </c>
      <c r="Q36" s="519">
        <f t="shared" si="6"/>
        <v>1.0454545454545454E-2</v>
      </c>
      <c r="R36" s="493"/>
      <c r="S36" s="494"/>
      <c r="T36" s="490"/>
      <c r="U36" s="495" t="s">
        <v>43</v>
      </c>
      <c r="V36" s="490"/>
      <c r="W36" s="496"/>
      <c r="X36" s="497">
        <v>29879</v>
      </c>
      <c r="Y36" s="498" t="s">
        <v>46</v>
      </c>
      <c r="AA36" s="767"/>
      <c r="AB36" s="500"/>
      <c r="AC36" s="490"/>
      <c r="AD36" s="529" t="s">
        <v>54</v>
      </c>
      <c r="AE36" s="286"/>
    </row>
    <row r="37" spans="1:51" s="288" customFormat="1" ht="24.95" customHeight="1" x14ac:dyDescent="0.3">
      <c r="A37" s="487" t="s">
        <v>47</v>
      </c>
      <c r="B37" s="488">
        <v>31164</v>
      </c>
      <c r="C37" s="489">
        <v>55000</v>
      </c>
      <c r="D37" s="488" t="s">
        <v>48</v>
      </c>
      <c r="E37" s="488" t="s">
        <v>49</v>
      </c>
      <c r="F37" s="488"/>
      <c r="G37" s="488"/>
      <c r="H37" s="488" t="s">
        <v>51</v>
      </c>
      <c r="I37" s="488" t="s">
        <v>52</v>
      </c>
      <c r="J37" s="488" t="s">
        <v>53</v>
      </c>
      <c r="K37" s="488"/>
      <c r="L37" s="490" t="s">
        <v>306</v>
      </c>
      <c r="M37" s="490"/>
      <c r="N37" s="503"/>
      <c r="O37" s="491">
        <f t="shared" si="4"/>
        <v>575</v>
      </c>
      <c r="P37" s="488" t="str">
        <f t="shared" si="5"/>
        <v>CAD</v>
      </c>
      <c r="Q37" s="519">
        <f t="shared" si="6"/>
        <v>1.0454545454545454E-2</v>
      </c>
      <c r="R37" s="493"/>
      <c r="S37" s="494"/>
      <c r="T37" s="490"/>
      <c r="U37" s="495" t="s">
        <v>43</v>
      </c>
      <c r="V37" s="490"/>
      <c r="W37" s="496"/>
      <c r="X37" s="497">
        <v>29879</v>
      </c>
      <c r="Y37" s="498" t="s">
        <v>46</v>
      </c>
      <c r="AA37" s="767"/>
      <c r="AB37" s="500"/>
      <c r="AC37" s="490"/>
      <c r="AD37" s="529" t="s">
        <v>54</v>
      </c>
      <c r="AE37" s="286"/>
    </row>
    <row r="38" spans="1:51" s="288" customFormat="1" ht="24.95" customHeight="1" x14ac:dyDescent="0.3">
      <c r="A38" s="487" t="s">
        <v>47</v>
      </c>
      <c r="B38" s="488">
        <v>31165</v>
      </c>
      <c r="C38" s="489">
        <v>55000</v>
      </c>
      <c r="D38" s="488" t="s">
        <v>48</v>
      </c>
      <c r="E38" s="488" t="s">
        <v>49</v>
      </c>
      <c r="F38" s="488"/>
      <c r="G38" s="488"/>
      <c r="H38" s="488" t="s">
        <v>51</v>
      </c>
      <c r="I38" s="488" t="s">
        <v>52</v>
      </c>
      <c r="J38" s="488" t="s">
        <v>53</v>
      </c>
      <c r="K38" s="488"/>
      <c r="L38" s="490" t="s">
        <v>307</v>
      </c>
      <c r="M38" s="490"/>
      <c r="N38" s="503"/>
      <c r="O38" s="491">
        <f t="shared" si="4"/>
        <v>575</v>
      </c>
      <c r="P38" s="488" t="str">
        <f t="shared" si="5"/>
        <v>CAD</v>
      </c>
      <c r="Q38" s="519">
        <f t="shared" si="6"/>
        <v>1.0454545454545454E-2</v>
      </c>
      <c r="R38" s="493"/>
      <c r="S38" s="494"/>
      <c r="T38" s="490"/>
      <c r="U38" s="495" t="s">
        <v>43</v>
      </c>
      <c r="V38" s="490"/>
      <c r="W38" s="496"/>
      <c r="X38" s="497">
        <v>29879</v>
      </c>
      <c r="Y38" s="498" t="s">
        <v>46</v>
      </c>
      <c r="AA38" s="767"/>
      <c r="AB38" s="500"/>
      <c r="AC38" s="490"/>
      <c r="AD38" s="529" t="s">
        <v>54</v>
      </c>
      <c r="AE38" s="286"/>
    </row>
    <row r="39" spans="1:51" s="413" customFormat="1" ht="24.95" customHeight="1" x14ac:dyDescent="0.3">
      <c r="A39" s="508" t="s">
        <v>263</v>
      </c>
      <c r="B39" s="509">
        <v>30143</v>
      </c>
      <c r="C39" s="510">
        <v>40000</v>
      </c>
      <c r="D39" s="509" t="s">
        <v>249</v>
      </c>
      <c r="E39" s="509" t="s">
        <v>308</v>
      </c>
      <c r="F39" s="509"/>
      <c r="G39" s="509"/>
      <c r="H39" s="509" t="s">
        <v>37</v>
      </c>
      <c r="I39" s="509" t="s">
        <v>266</v>
      </c>
      <c r="J39" s="509" t="s">
        <v>62</v>
      </c>
      <c r="K39" s="509"/>
      <c r="L39" s="511" t="s">
        <v>302</v>
      </c>
      <c r="M39" s="511"/>
      <c r="N39" s="509"/>
      <c r="O39" s="491" t="str">
        <f t="shared" si="4"/>
        <v>INSERT VALUE HERE</v>
      </c>
      <c r="P39" s="509" t="str">
        <f t="shared" si="5"/>
        <v>INSERT CURRENCY</v>
      </c>
      <c r="Q39" s="512" t="e">
        <f t="shared" si="6"/>
        <v>#VALUE!</v>
      </c>
      <c r="R39" s="514"/>
      <c r="S39" s="513"/>
      <c r="T39" s="515"/>
      <c r="U39" s="516" t="s">
        <v>66</v>
      </c>
      <c r="V39" s="511"/>
      <c r="W39" s="515"/>
      <c r="X39" s="712">
        <v>128800</v>
      </c>
      <c r="Y39" s="515" t="s">
        <v>215</v>
      </c>
      <c r="AA39" s="767"/>
      <c r="AB39" s="767"/>
      <c r="AC39" s="490"/>
      <c r="AD39" s="488"/>
      <c r="AE39" s="286"/>
      <c r="AF39" s="288"/>
      <c r="AG39" s="288"/>
      <c r="AH39" s="288"/>
      <c r="AI39" s="288"/>
      <c r="AJ39" s="288"/>
      <c r="AK39" s="288"/>
      <c r="AL39" s="288"/>
      <c r="AM39" s="288"/>
      <c r="AN39" s="288"/>
      <c r="AO39" s="288"/>
      <c r="AP39" s="288"/>
      <c r="AQ39" s="288"/>
      <c r="AR39" s="288"/>
      <c r="AS39" s="288"/>
      <c r="AT39" s="288"/>
      <c r="AU39" s="288"/>
      <c r="AV39" s="288"/>
      <c r="AW39" s="288"/>
      <c r="AX39" s="288"/>
      <c r="AY39" s="288"/>
    </row>
    <row r="40" spans="1:51" s="413" customFormat="1" ht="24.95" customHeight="1" x14ac:dyDescent="0.3">
      <c r="A40" s="508" t="s">
        <v>263</v>
      </c>
      <c r="B40" s="509">
        <v>30144</v>
      </c>
      <c r="C40" s="510">
        <v>40000</v>
      </c>
      <c r="D40" s="509" t="s">
        <v>249</v>
      </c>
      <c r="E40" s="509" t="s">
        <v>308</v>
      </c>
      <c r="F40" s="509"/>
      <c r="G40" s="509"/>
      <c r="H40" s="509" t="s">
        <v>37</v>
      </c>
      <c r="I40" s="509" t="s">
        <v>266</v>
      </c>
      <c r="J40" s="509" t="s">
        <v>62</v>
      </c>
      <c r="K40" s="509"/>
      <c r="L40" s="511" t="s">
        <v>302</v>
      </c>
      <c r="M40" s="511"/>
      <c r="N40" s="509"/>
      <c r="O40" s="491" t="str">
        <f t="shared" si="4"/>
        <v>INSERT VALUE HERE</v>
      </c>
      <c r="P40" s="509" t="str">
        <f t="shared" si="5"/>
        <v>INSERT CURRENCY</v>
      </c>
      <c r="Q40" s="512" t="e">
        <f t="shared" si="6"/>
        <v>#VALUE!</v>
      </c>
      <c r="R40" s="514"/>
      <c r="S40" s="513"/>
      <c r="T40" s="515"/>
      <c r="U40" s="516" t="s">
        <v>66</v>
      </c>
      <c r="V40" s="511"/>
      <c r="W40" s="515"/>
      <c r="X40" s="712">
        <v>128800</v>
      </c>
      <c r="Y40" s="515" t="s">
        <v>215</v>
      </c>
      <c r="AA40" s="767"/>
      <c r="AB40" s="767"/>
      <c r="AC40" s="490"/>
      <c r="AD40" s="488"/>
      <c r="AE40" s="286"/>
      <c r="AF40" s="288"/>
      <c r="AG40" s="288"/>
      <c r="AH40" s="288"/>
      <c r="AI40" s="288"/>
      <c r="AJ40" s="288"/>
      <c r="AK40" s="288"/>
      <c r="AL40" s="288"/>
      <c r="AM40" s="288"/>
      <c r="AN40" s="288"/>
      <c r="AO40" s="288"/>
      <c r="AP40" s="288"/>
      <c r="AQ40" s="288"/>
      <c r="AR40" s="288"/>
      <c r="AS40" s="288"/>
      <c r="AT40" s="288"/>
      <c r="AU40" s="288"/>
      <c r="AV40" s="288"/>
      <c r="AW40" s="288"/>
      <c r="AX40" s="288"/>
      <c r="AY40" s="288"/>
    </row>
    <row r="41" spans="1:51" s="288" customFormat="1" ht="24.95" customHeight="1" x14ac:dyDescent="0.35">
      <c r="A41" s="487" t="s">
        <v>207</v>
      </c>
      <c r="B41" s="488">
        <v>31976</v>
      </c>
      <c r="C41" s="489">
        <f>22000*2.20462</f>
        <v>48501.639999999992</v>
      </c>
      <c r="D41" s="488" t="s">
        <v>70</v>
      </c>
      <c r="E41" s="488" t="s">
        <v>208</v>
      </c>
      <c r="F41" s="488"/>
      <c r="G41" s="488"/>
      <c r="H41" s="488" t="s">
        <v>109</v>
      </c>
      <c r="I41" s="684" t="s">
        <v>74</v>
      </c>
      <c r="J41" s="488" t="s">
        <v>75</v>
      </c>
      <c r="K41" s="488"/>
      <c r="L41" s="603" t="s">
        <v>309</v>
      </c>
      <c r="M41" s="490" t="str">
        <f>IF(OR(H41="cif", H41="cfr"), "-", "INSERT NAME HERE")</f>
        <v>-</v>
      </c>
      <c r="N41" s="503" t="s">
        <v>40</v>
      </c>
      <c r="O41" s="491">
        <f t="shared" si="4"/>
        <v>575</v>
      </c>
      <c r="P41" s="488" t="str">
        <f t="shared" si="5"/>
        <v>CAD</v>
      </c>
      <c r="Q41" s="504">
        <f t="shared" si="6"/>
        <v>1.185526922388604E-2</v>
      </c>
      <c r="R41" s="548"/>
      <c r="S41" s="550"/>
      <c r="T41" s="548"/>
      <c r="U41" s="630"/>
      <c r="V41" s="490"/>
      <c r="W41" s="549"/>
      <c r="X41" s="741"/>
      <c r="Y41" s="498"/>
      <c r="Z41" s="498"/>
      <c r="AA41" s="498"/>
      <c r="AB41" s="637"/>
      <c r="AC41" s="490"/>
      <c r="AD41" s="501"/>
      <c r="AE41" s="298"/>
    </row>
    <row r="42" spans="1:51" s="413" customFormat="1" ht="24.95" customHeight="1" x14ac:dyDescent="0.3">
      <c r="A42" s="508" t="s">
        <v>259</v>
      </c>
      <c r="B42" s="509">
        <v>28368</v>
      </c>
      <c r="C42" s="530">
        <v>40500</v>
      </c>
      <c r="D42" s="531" t="s">
        <v>249</v>
      </c>
      <c r="E42" s="509" t="s">
        <v>260</v>
      </c>
      <c r="F42" s="509"/>
      <c r="G42" s="509"/>
      <c r="H42" s="509" t="s">
        <v>37</v>
      </c>
      <c r="I42" s="509" t="s">
        <v>261</v>
      </c>
      <c r="J42" s="509" t="s">
        <v>53</v>
      </c>
      <c r="K42" s="509"/>
      <c r="L42" s="511" t="s">
        <v>310</v>
      </c>
      <c r="M42" s="511"/>
      <c r="N42" s="509"/>
      <c r="O42" s="491" t="str">
        <f t="shared" si="4"/>
        <v>INSERT VALUE HERE</v>
      </c>
      <c r="P42" s="509" t="str">
        <f t="shared" si="5"/>
        <v>INSERT CURRENCY</v>
      </c>
      <c r="Q42" s="513" t="e">
        <f t="shared" si="6"/>
        <v>#VALUE!</v>
      </c>
      <c r="R42" s="514"/>
      <c r="S42" s="532"/>
      <c r="T42" s="515"/>
      <c r="U42" s="516" t="s">
        <v>66</v>
      </c>
      <c r="V42" s="511"/>
      <c r="W42" s="515"/>
      <c r="X42" s="712">
        <v>56700</v>
      </c>
      <c r="Y42" s="515" t="s">
        <v>215</v>
      </c>
      <c r="AA42" s="767"/>
      <c r="AB42" s="767"/>
      <c r="AC42" s="767"/>
      <c r="AD42" s="529" t="s">
        <v>262</v>
      </c>
      <c r="AE42" s="286"/>
      <c r="AF42" s="288"/>
      <c r="AG42" s="288"/>
      <c r="AH42" s="288"/>
      <c r="AI42" s="288"/>
      <c r="AJ42" s="288"/>
      <c r="AK42" s="288"/>
      <c r="AL42" s="288"/>
      <c r="AM42" s="288"/>
      <c r="AN42" s="288"/>
      <c r="AO42" s="288"/>
      <c r="AP42" s="288"/>
      <c r="AQ42" s="288"/>
      <c r="AR42" s="288"/>
      <c r="AS42" s="288"/>
      <c r="AT42" s="288"/>
      <c r="AU42" s="288"/>
      <c r="AV42" s="288"/>
      <c r="AW42" s="288"/>
      <c r="AX42" s="288"/>
      <c r="AY42" s="288"/>
    </row>
    <row r="43" spans="1:51" s="413" customFormat="1" ht="24.95" customHeight="1" x14ac:dyDescent="0.3">
      <c r="A43" s="508" t="s">
        <v>259</v>
      </c>
      <c r="B43" s="509">
        <v>28369</v>
      </c>
      <c r="C43" s="530">
        <v>40500</v>
      </c>
      <c r="D43" s="531" t="s">
        <v>249</v>
      </c>
      <c r="E43" s="509" t="s">
        <v>260</v>
      </c>
      <c r="F43" s="509"/>
      <c r="G43" s="509"/>
      <c r="H43" s="509" t="s">
        <v>37</v>
      </c>
      <c r="I43" s="509" t="s">
        <v>261</v>
      </c>
      <c r="J43" s="509" t="s">
        <v>53</v>
      </c>
      <c r="K43" s="509"/>
      <c r="L43" s="511" t="s">
        <v>310</v>
      </c>
      <c r="M43" s="511"/>
      <c r="N43" s="509"/>
      <c r="O43" s="491" t="str">
        <f t="shared" si="4"/>
        <v>INSERT VALUE HERE</v>
      </c>
      <c r="P43" s="509" t="str">
        <f t="shared" si="5"/>
        <v>INSERT CURRENCY</v>
      </c>
      <c r="Q43" s="513" t="e">
        <f t="shared" si="6"/>
        <v>#VALUE!</v>
      </c>
      <c r="R43" s="514"/>
      <c r="S43" s="532"/>
      <c r="T43" s="515"/>
      <c r="U43" s="516" t="s">
        <v>66</v>
      </c>
      <c r="V43" s="511"/>
      <c r="W43" s="515"/>
      <c r="X43" s="712">
        <v>56700</v>
      </c>
      <c r="Y43" s="515" t="s">
        <v>215</v>
      </c>
      <c r="AA43" s="767"/>
      <c r="AB43" s="767"/>
      <c r="AC43" s="767"/>
      <c r="AD43" s="529" t="s">
        <v>262</v>
      </c>
      <c r="AE43" s="286"/>
      <c r="AF43" s="288"/>
      <c r="AG43" s="288"/>
      <c r="AH43" s="288"/>
      <c r="AI43" s="288"/>
      <c r="AJ43" s="288"/>
      <c r="AK43" s="288"/>
      <c r="AL43" s="288"/>
      <c r="AM43" s="288"/>
      <c r="AN43" s="288"/>
      <c r="AO43" s="288"/>
      <c r="AP43" s="288"/>
      <c r="AQ43" s="288"/>
      <c r="AR43" s="288"/>
      <c r="AS43" s="288"/>
      <c r="AT43" s="288"/>
      <c r="AU43" s="288"/>
      <c r="AV43" s="288"/>
      <c r="AW43" s="288"/>
      <c r="AX43" s="288"/>
      <c r="AY43" s="288"/>
    </row>
    <row r="44" spans="1:51" s="413" customFormat="1" ht="24.95" customHeight="1" x14ac:dyDescent="0.3">
      <c r="A44" s="508" t="s">
        <v>259</v>
      </c>
      <c r="B44" s="509">
        <v>28370</v>
      </c>
      <c r="C44" s="530">
        <v>40500</v>
      </c>
      <c r="D44" s="531" t="s">
        <v>249</v>
      </c>
      <c r="E44" s="509" t="s">
        <v>260</v>
      </c>
      <c r="F44" s="509"/>
      <c r="G44" s="509"/>
      <c r="H44" s="509" t="s">
        <v>37</v>
      </c>
      <c r="I44" s="509" t="s">
        <v>261</v>
      </c>
      <c r="J44" s="509" t="s">
        <v>53</v>
      </c>
      <c r="K44" s="509"/>
      <c r="L44" s="511" t="s">
        <v>311</v>
      </c>
      <c r="M44" s="511"/>
      <c r="N44" s="509"/>
      <c r="O44" s="491" t="str">
        <f t="shared" si="4"/>
        <v>INSERT VALUE HERE</v>
      </c>
      <c r="P44" s="509" t="str">
        <f t="shared" si="5"/>
        <v>INSERT CURRENCY</v>
      </c>
      <c r="Q44" s="513" t="e">
        <f t="shared" si="6"/>
        <v>#VALUE!</v>
      </c>
      <c r="R44" s="514"/>
      <c r="S44" s="532"/>
      <c r="T44" s="515"/>
      <c r="U44" s="516" t="s">
        <v>66</v>
      </c>
      <c r="V44" s="511"/>
      <c r="W44" s="515"/>
      <c r="X44" s="712">
        <v>56700</v>
      </c>
      <c r="Y44" s="515" t="s">
        <v>215</v>
      </c>
      <c r="AA44" s="767"/>
      <c r="AB44" s="767"/>
      <c r="AC44" s="767"/>
      <c r="AD44" s="529" t="s">
        <v>262</v>
      </c>
      <c r="AE44" s="286"/>
      <c r="AF44" s="288"/>
      <c r="AG44" s="288"/>
      <c r="AH44" s="288"/>
      <c r="AI44" s="288"/>
      <c r="AJ44" s="288"/>
      <c r="AK44" s="288"/>
      <c r="AL44" s="288"/>
      <c r="AM44" s="288"/>
      <c r="AN44" s="288"/>
      <c r="AO44" s="288"/>
      <c r="AP44" s="288"/>
      <c r="AQ44" s="288"/>
      <c r="AR44" s="288"/>
      <c r="AS44" s="288"/>
      <c r="AT44" s="288"/>
      <c r="AU44" s="288"/>
      <c r="AV44" s="288"/>
      <c r="AW44" s="288"/>
      <c r="AX44" s="288"/>
      <c r="AY44" s="288"/>
    </row>
    <row r="45" spans="1:51" s="413" customFormat="1" ht="24.95" customHeight="1" x14ac:dyDescent="0.3">
      <c r="A45" s="508" t="s">
        <v>259</v>
      </c>
      <c r="B45" s="509">
        <v>28371</v>
      </c>
      <c r="C45" s="530">
        <v>40500</v>
      </c>
      <c r="D45" s="531" t="s">
        <v>249</v>
      </c>
      <c r="E45" s="509" t="s">
        <v>260</v>
      </c>
      <c r="F45" s="509"/>
      <c r="G45" s="509"/>
      <c r="H45" s="509" t="s">
        <v>37</v>
      </c>
      <c r="I45" s="509" t="s">
        <v>261</v>
      </c>
      <c r="J45" s="509" t="s">
        <v>53</v>
      </c>
      <c r="K45" s="509"/>
      <c r="L45" s="511" t="s">
        <v>311</v>
      </c>
      <c r="M45" s="511"/>
      <c r="N45" s="509"/>
      <c r="O45" s="491" t="str">
        <f t="shared" si="4"/>
        <v>INSERT VALUE HERE</v>
      </c>
      <c r="P45" s="509" t="str">
        <f t="shared" si="5"/>
        <v>INSERT CURRENCY</v>
      </c>
      <c r="Q45" s="513" t="e">
        <f t="shared" si="6"/>
        <v>#VALUE!</v>
      </c>
      <c r="R45" s="514"/>
      <c r="S45" s="532"/>
      <c r="T45" s="515"/>
      <c r="U45" s="516" t="s">
        <v>66</v>
      </c>
      <c r="V45" s="511"/>
      <c r="W45" s="515"/>
      <c r="X45" s="712">
        <v>56700</v>
      </c>
      <c r="Y45" s="515" t="s">
        <v>215</v>
      </c>
      <c r="AA45" s="767"/>
      <c r="AB45" s="767"/>
      <c r="AC45" s="767"/>
      <c r="AD45" s="529" t="s">
        <v>262</v>
      </c>
      <c r="AE45" s="286"/>
      <c r="AF45" s="288"/>
      <c r="AG45" s="288"/>
      <c r="AH45" s="288"/>
      <c r="AI45" s="288"/>
      <c r="AJ45" s="288"/>
      <c r="AK45" s="288"/>
      <c r="AL45" s="288"/>
      <c r="AM45" s="288"/>
      <c r="AN45" s="288"/>
      <c r="AO45" s="288"/>
      <c r="AP45" s="288"/>
      <c r="AQ45" s="288"/>
      <c r="AR45" s="288"/>
      <c r="AS45" s="288"/>
      <c r="AT45" s="288"/>
      <c r="AU45" s="288"/>
      <c r="AV45" s="288"/>
      <c r="AW45" s="288"/>
      <c r="AX45" s="288"/>
      <c r="AY45" s="288"/>
    </row>
    <row r="46" spans="1:51" s="283" customFormat="1" ht="24.95" customHeight="1" x14ac:dyDescent="0.35">
      <c r="A46" s="487" t="s">
        <v>244</v>
      </c>
      <c r="B46" s="523">
        <v>31624</v>
      </c>
      <c r="C46" s="524">
        <v>44000</v>
      </c>
      <c r="D46" s="522">
        <v>20</v>
      </c>
      <c r="E46" s="522" t="s">
        <v>245</v>
      </c>
      <c r="F46" s="523"/>
      <c r="G46" s="523"/>
      <c r="H46" s="522" t="s">
        <v>37</v>
      </c>
      <c r="I46" s="523" t="s">
        <v>246</v>
      </c>
      <c r="J46" s="523" t="s">
        <v>247</v>
      </c>
      <c r="K46" s="523"/>
      <c r="L46" s="490" t="s">
        <v>312</v>
      </c>
      <c r="M46" s="525"/>
      <c r="N46" s="525"/>
      <c r="O46" s="491" t="str">
        <f t="shared" si="4"/>
        <v>INSERT VALUE HERE</v>
      </c>
      <c r="P46" s="523" t="str">
        <f t="shared" si="5"/>
        <v>INSERT CURRENCY</v>
      </c>
      <c r="Q46" s="525" t="e">
        <f t="shared" si="6"/>
        <v>#VALUE!</v>
      </c>
      <c r="R46" s="525"/>
      <c r="S46" s="526"/>
      <c r="T46" s="525"/>
      <c r="U46" s="527" t="s">
        <v>43</v>
      </c>
      <c r="V46" s="525"/>
      <c r="W46" s="525"/>
      <c r="X46" s="528">
        <v>19000</v>
      </c>
      <c r="Y46" s="498" t="s">
        <v>46</v>
      </c>
      <c r="AA46" s="693"/>
      <c r="AB46" s="739"/>
      <c r="AC46" s="739"/>
      <c r="AD46" s="547"/>
      <c r="AE46" s="298"/>
      <c r="AF46" s="288"/>
      <c r="AG46" s="288"/>
      <c r="AH46" s="288"/>
      <c r="AI46" s="288"/>
      <c r="AJ46" s="288"/>
      <c r="AK46" s="288"/>
      <c r="AL46" s="288"/>
      <c r="AM46" s="288"/>
      <c r="AN46" s="288"/>
      <c r="AO46" s="288"/>
      <c r="AP46" s="288"/>
      <c r="AQ46" s="288"/>
      <c r="AR46" s="288"/>
      <c r="AS46" s="288"/>
      <c r="AT46" s="288"/>
      <c r="AU46" s="288"/>
    </row>
    <row r="47" spans="1:51" s="283" customFormat="1" ht="24.95" customHeight="1" x14ac:dyDescent="0.35">
      <c r="A47" s="487" t="s">
        <v>244</v>
      </c>
      <c r="B47" s="523">
        <v>31625</v>
      </c>
      <c r="C47" s="524">
        <v>44000</v>
      </c>
      <c r="D47" s="522">
        <v>20</v>
      </c>
      <c r="E47" s="522" t="s">
        <v>245</v>
      </c>
      <c r="F47" s="523"/>
      <c r="G47" s="523"/>
      <c r="H47" s="522" t="s">
        <v>37</v>
      </c>
      <c r="I47" s="523" t="s">
        <v>246</v>
      </c>
      <c r="J47" s="523" t="s">
        <v>247</v>
      </c>
      <c r="K47" s="523"/>
      <c r="L47" s="490" t="s">
        <v>312</v>
      </c>
      <c r="M47" s="525"/>
      <c r="N47" s="525"/>
      <c r="O47" s="491" t="str">
        <f t="shared" si="4"/>
        <v>INSERT VALUE HERE</v>
      </c>
      <c r="P47" s="523" t="str">
        <f t="shared" si="5"/>
        <v>INSERT CURRENCY</v>
      </c>
      <c r="Q47" s="525" t="e">
        <f t="shared" si="6"/>
        <v>#VALUE!</v>
      </c>
      <c r="R47" s="525"/>
      <c r="S47" s="526"/>
      <c r="T47" s="525"/>
      <c r="U47" s="527" t="s">
        <v>43</v>
      </c>
      <c r="V47" s="525"/>
      <c r="W47" s="525"/>
      <c r="X47" s="528">
        <v>19000</v>
      </c>
      <c r="Y47" s="498" t="s">
        <v>46</v>
      </c>
      <c r="AA47" s="693"/>
      <c r="AB47" s="739"/>
      <c r="AC47" s="739"/>
      <c r="AD47" s="547"/>
      <c r="AE47" s="298"/>
      <c r="AF47" s="288"/>
      <c r="AG47" s="288"/>
      <c r="AH47" s="288"/>
      <c r="AI47" s="288"/>
      <c r="AJ47" s="288"/>
      <c r="AK47" s="288"/>
      <c r="AL47" s="288"/>
      <c r="AM47" s="288"/>
      <c r="AN47" s="288"/>
      <c r="AO47" s="288"/>
      <c r="AP47" s="288"/>
      <c r="AQ47" s="288"/>
      <c r="AR47" s="288"/>
      <c r="AS47" s="288"/>
      <c r="AT47" s="288"/>
      <c r="AU47" s="288"/>
    </row>
    <row r="48" spans="1:51" s="413" customFormat="1" ht="24.95" customHeight="1" x14ac:dyDescent="0.3">
      <c r="A48" s="508" t="s">
        <v>313</v>
      </c>
      <c r="B48" s="509">
        <v>27300</v>
      </c>
      <c r="C48" s="530">
        <v>41800</v>
      </c>
      <c r="D48" s="531" t="s">
        <v>249</v>
      </c>
      <c r="E48" s="531" t="s">
        <v>314</v>
      </c>
      <c r="F48" s="509"/>
      <c r="G48" s="509"/>
      <c r="H48" s="531" t="s">
        <v>315</v>
      </c>
      <c r="I48" s="509" t="s">
        <v>285</v>
      </c>
      <c r="J48" s="509" t="s">
        <v>62</v>
      </c>
      <c r="K48" s="509"/>
      <c r="L48" s="511" t="s">
        <v>316</v>
      </c>
      <c r="M48" s="511"/>
      <c r="N48" s="509"/>
      <c r="O48" s="491" t="str">
        <f t="shared" si="4"/>
        <v>INSERT VALUE HERE</v>
      </c>
      <c r="P48" s="509" t="str">
        <f t="shared" si="5"/>
        <v>INSERT CURRENCY</v>
      </c>
      <c r="Q48" s="513" t="e">
        <f t="shared" si="6"/>
        <v>#VALUE!</v>
      </c>
      <c r="R48" s="514"/>
      <c r="S48" s="532"/>
      <c r="T48" s="515"/>
      <c r="U48" s="539" t="s">
        <v>66</v>
      </c>
      <c r="V48" s="511"/>
      <c r="W48" s="515"/>
      <c r="X48" s="712">
        <v>30096</v>
      </c>
      <c r="Y48" s="515" t="s">
        <v>215</v>
      </c>
      <c r="AA48" s="767"/>
      <c r="AB48" s="767"/>
      <c r="AC48" s="490"/>
      <c r="AD48" s="540" t="s">
        <v>317</v>
      </c>
      <c r="AE48" s="286"/>
      <c r="AF48" s="288"/>
      <c r="AG48" s="288"/>
      <c r="AH48" s="288"/>
      <c r="AI48" s="288"/>
      <c r="AJ48" s="288"/>
      <c r="AK48" s="288"/>
      <c r="AL48" s="288"/>
      <c r="AM48" s="288"/>
      <c r="AN48" s="288"/>
      <c r="AO48" s="288"/>
      <c r="AP48" s="288"/>
      <c r="AQ48" s="288"/>
      <c r="AR48" s="288"/>
      <c r="AS48" s="288"/>
      <c r="AT48" s="288"/>
      <c r="AU48" s="288"/>
      <c r="AV48" s="288"/>
      <c r="AW48" s="288"/>
      <c r="AX48" s="288"/>
      <c r="AY48" s="288"/>
    </row>
    <row r="49" spans="1:51" s="413" customFormat="1" ht="24.95" customHeight="1" x14ac:dyDescent="0.3">
      <c r="A49" s="508" t="s">
        <v>313</v>
      </c>
      <c r="B49" s="509">
        <v>27301</v>
      </c>
      <c r="C49" s="530">
        <v>41800</v>
      </c>
      <c r="D49" s="531" t="s">
        <v>249</v>
      </c>
      <c r="E49" s="531" t="s">
        <v>314</v>
      </c>
      <c r="F49" s="509"/>
      <c r="G49" s="509"/>
      <c r="H49" s="531" t="s">
        <v>315</v>
      </c>
      <c r="I49" s="509" t="s">
        <v>285</v>
      </c>
      <c r="J49" s="509" t="s">
        <v>62</v>
      </c>
      <c r="K49" s="509"/>
      <c r="L49" s="511" t="s">
        <v>316</v>
      </c>
      <c r="M49" s="511"/>
      <c r="N49" s="509"/>
      <c r="O49" s="491" t="str">
        <f t="shared" si="4"/>
        <v>INSERT VALUE HERE</v>
      </c>
      <c r="P49" s="509" t="str">
        <f t="shared" si="5"/>
        <v>INSERT CURRENCY</v>
      </c>
      <c r="Q49" s="513" t="e">
        <f t="shared" si="6"/>
        <v>#VALUE!</v>
      </c>
      <c r="R49" s="514"/>
      <c r="S49" s="532"/>
      <c r="T49" s="515"/>
      <c r="U49" s="539" t="s">
        <v>66</v>
      </c>
      <c r="V49" s="511"/>
      <c r="W49" s="515"/>
      <c r="X49" s="712">
        <v>30096</v>
      </c>
      <c r="Y49" s="515" t="s">
        <v>215</v>
      </c>
      <c r="AA49" s="767"/>
      <c r="AB49" s="767"/>
      <c r="AC49" s="490"/>
      <c r="AD49" s="540" t="s">
        <v>317</v>
      </c>
      <c r="AE49" s="286"/>
      <c r="AF49" s="288"/>
      <c r="AG49" s="288"/>
      <c r="AH49" s="288"/>
      <c r="AI49" s="288"/>
      <c r="AJ49" s="288"/>
      <c r="AK49" s="288"/>
      <c r="AL49" s="288"/>
      <c r="AM49" s="288"/>
      <c r="AN49" s="288"/>
      <c r="AO49" s="288"/>
      <c r="AP49" s="288"/>
      <c r="AQ49" s="288"/>
      <c r="AR49" s="288"/>
      <c r="AS49" s="288"/>
      <c r="AT49" s="288"/>
      <c r="AU49" s="288"/>
      <c r="AV49" s="288"/>
      <c r="AW49" s="288"/>
      <c r="AX49" s="288"/>
      <c r="AY49" s="288"/>
    </row>
    <row r="50" spans="1:51" s="413" customFormat="1" ht="24.95" customHeight="1" x14ac:dyDescent="0.3">
      <c r="A50" s="508" t="s">
        <v>313</v>
      </c>
      <c r="B50" s="509">
        <v>27302</v>
      </c>
      <c r="C50" s="530">
        <v>41800</v>
      </c>
      <c r="D50" s="531" t="s">
        <v>249</v>
      </c>
      <c r="E50" s="531" t="s">
        <v>314</v>
      </c>
      <c r="F50" s="509"/>
      <c r="G50" s="509"/>
      <c r="H50" s="531" t="s">
        <v>315</v>
      </c>
      <c r="I50" s="509" t="s">
        <v>285</v>
      </c>
      <c r="J50" s="509" t="s">
        <v>62</v>
      </c>
      <c r="K50" s="509"/>
      <c r="L50" s="511" t="s">
        <v>316</v>
      </c>
      <c r="M50" s="511"/>
      <c r="N50" s="509"/>
      <c r="O50" s="491" t="str">
        <f t="shared" si="4"/>
        <v>INSERT VALUE HERE</v>
      </c>
      <c r="P50" s="509" t="str">
        <f t="shared" si="5"/>
        <v>INSERT CURRENCY</v>
      </c>
      <c r="Q50" s="513" t="e">
        <f t="shared" si="6"/>
        <v>#VALUE!</v>
      </c>
      <c r="R50" s="514"/>
      <c r="S50" s="532"/>
      <c r="T50" s="515"/>
      <c r="U50" s="539" t="s">
        <v>66</v>
      </c>
      <c r="V50" s="511"/>
      <c r="W50" s="515"/>
      <c r="X50" s="712">
        <v>30096</v>
      </c>
      <c r="Y50" s="515" t="s">
        <v>215</v>
      </c>
      <c r="AA50" s="767"/>
      <c r="AB50" s="767"/>
      <c r="AC50" s="490"/>
      <c r="AD50" s="540" t="s">
        <v>317</v>
      </c>
      <c r="AE50" s="286"/>
      <c r="AF50" s="288"/>
      <c r="AG50" s="288"/>
      <c r="AH50" s="288"/>
      <c r="AI50" s="288"/>
      <c r="AJ50" s="288"/>
      <c r="AK50" s="288"/>
      <c r="AL50" s="288"/>
      <c r="AM50" s="288"/>
      <c r="AN50" s="288"/>
      <c r="AO50" s="288"/>
      <c r="AP50" s="288"/>
      <c r="AQ50" s="288"/>
      <c r="AR50" s="288"/>
      <c r="AS50" s="288"/>
      <c r="AT50" s="288"/>
      <c r="AU50" s="288"/>
      <c r="AV50" s="288"/>
      <c r="AW50" s="288"/>
      <c r="AX50" s="288"/>
      <c r="AY50" s="288"/>
    </row>
    <row r="51" spans="1:51" s="413" customFormat="1" ht="24.95" customHeight="1" x14ac:dyDescent="0.3">
      <c r="A51" s="508" t="s">
        <v>313</v>
      </c>
      <c r="B51" s="531">
        <v>31058</v>
      </c>
      <c r="C51" s="530">
        <v>41800</v>
      </c>
      <c r="D51" s="531" t="s">
        <v>249</v>
      </c>
      <c r="E51" s="531" t="s">
        <v>318</v>
      </c>
      <c r="F51" s="531"/>
      <c r="G51" s="531"/>
      <c r="H51" s="531" t="s">
        <v>315</v>
      </c>
      <c r="I51" s="509" t="s">
        <v>285</v>
      </c>
      <c r="J51" s="509" t="s">
        <v>62</v>
      </c>
      <c r="K51" s="509"/>
      <c r="L51" s="511"/>
      <c r="M51" s="645"/>
      <c r="N51" s="509"/>
      <c r="O51" s="491" t="str">
        <f t="shared" si="4"/>
        <v>INSERT VALUE HERE</v>
      </c>
      <c r="P51" s="509" t="str">
        <f t="shared" si="5"/>
        <v>INSERT CURRENCY</v>
      </c>
      <c r="Q51" s="513" t="e">
        <f t="shared" si="6"/>
        <v>#VALUE!</v>
      </c>
      <c r="R51" s="651"/>
      <c r="S51" s="532"/>
      <c r="T51" s="652"/>
      <c r="U51" s="539"/>
      <c r="V51" s="645"/>
      <c r="W51" s="652"/>
      <c r="X51" s="737"/>
      <c r="Y51" s="515"/>
      <c r="AA51" s="693"/>
      <c r="AB51" s="693"/>
      <c r="AC51" s="490"/>
      <c r="AD51" s="768"/>
      <c r="AE51" s="396"/>
      <c r="AF51" s="288"/>
      <c r="AG51" s="288"/>
      <c r="AH51" s="288"/>
      <c r="AI51" s="288"/>
      <c r="AJ51" s="288"/>
      <c r="AK51" s="288"/>
      <c r="AL51" s="288"/>
      <c r="AM51" s="288"/>
      <c r="AN51" s="288"/>
      <c r="AO51" s="288"/>
      <c r="AP51" s="288"/>
      <c r="AQ51" s="288"/>
      <c r="AR51" s="288"/>
      <c r="AS51" s="288"/>
      <c r="AT51" s="288"/>
      <c r="AU51" s="288"/>
      <c r="AV51" s="288"/>
      <c r="AW51" s="288"/>
      <c r="AX51" s="288"/>
      <c r="AY51" s="288"/>
    </row>
    <row r="52" spans="1:51" s="288" customFormat="1" ht="24.95" customHeight="1" x14ac:dyDescent="0.35">
      <c r="A52" s="487" t="s">
        <v>131</v>
      </c>
      <c r="B52" s="488">
        <v>31265</v>
      </c>
      <c r="C52" s="489">
        <f>16443*2.20462</f>
        <v>36250.566659999997</v>
      </c>
      <c r="D52" s="488" t="s">
        <v>94</v>
      </c>
      <c r="E52" s="488" t="s">
        <v>132</v>
      </c>
      <c r="F52" s="522"/>
      <c r="G52" s="488"/>
      <c r="H52" s="488" t="s">
        <v>37</v>
      </c>
      <c r="I52" s="684" t="s">
        <v>319</v>
      </c>
      <c r="J52" s="488" t="s">
        <v>134</v>
      </c>
      <c r="K52" s="488"/>
      <c r="L52" s="603" t="s">
        <v>311</v>
      </c>
      <c r="M52" s="490"/>
      <c r="N52" s="503"/>
      <c r="O52" s="491" t="str">
        <f t="shared" si="4"/>
        <v>INSERT VALUE HERE</v>
      </c>
      <c r="P52" s="488" t="str">
        <f t="shared" si="5"/>
        <v>INSERT CURRENCY</v>
      </c>
      <c r="Q52" s="504" t="e">
        <f t="shared" si="6"/>
        <v>#VALUE!</v>
      </c>
      <c r="R52" s="548"/>
      <c r="S52" s="550"/>
      <c r="T52" s="548"/>
      <c r="U52" s="630"/>
      <c r="V52" s="490"/>
      <c r="W52" s="549"/>
      <c r="X52" s="497">
        <v>47125</v>
      </c>
      <c r="Y52" s="498"/>
      <c r="AA52" s="498"/>
      <c r="AB52" s="498"/>
      <c r="AC52" s="490"/>
      <c r="AD52" s="501"/>
      <c r="AE52" s="649"/>
    </row>
    <row r="53" spans="1:51" s="413" customFormat="1" ht="24.95" customHeight="1" x14ac:dyDescent="0.35">
      <c r="A53" s="508" t="s">
        <v>320</v>
      </c>
      <c r="B53" s="509">
        <v>28289</v>
      </c>
      <c r="C53" s="510">
        <v>36900</v>
      </c>
      <c r="D53" s="509" t="s">
        <v>249</v>
      </c>
      <c r="E53" s="509" t="s">
        <v>321</v>
      </c>
      <c r="F53" s="509"/>
      <c r="G53" s="509"/>
      <c r="H53" s="509" t="s">
        <v>164</v>
      </c>
      <c r="I53" s="509" t="s">
        <v>266</v>
      </c>
      <c r="J53" s="509" t="s">
        <v>62</v>
      </c>
      <c r="K53" s="509"/>
      <c r="L53" s="511" t="s">
        <v>322</v>
      </c>
      <c r="M53" s="511"/>
      <c r="N53" s="509"/>
      <c r="O53" s="491" t="str">
        <f t="shared" si="4"/>
        <v>INSERT VALUE HERE</v>
      </c>
      <c r="P53" s="509" t="str">
        <f t="shared" si="5"/>
        <v>INSERT CURRENCY</v>
      </c>
      <c r="Q53" s="513" t="e">
        <f t="shared" si="6"/>
        <v>#VALUE!</v>
      </c>
      <c r="R53" s="543"/>
      <c r="S53" s="544"/>
      <c r="T53" s="545"/>
      <c r="U53" s="539" t="s">
        <v>66</v>
      </c>
      <c r="V53" s="511"/>
      <c r="W53" s="545"/>
      <c r="X53" s="712">
        <v>55440</v>
      </c>
      <c r="Y53" s="515" t="s">
        <v>215</v>
      </c>
      <c r="AA53" s="693"/>
      <c r="AB53" s="693"/>
      <c r="AC53" s="490"/>
      <c r="AD53" s="501"/>
      <c r="AE53" s="286"/>
      <c r="AF53" s="288"/>
      <c r="AG53" s="288"/>
      <c r="AH53" s="288"/>
      <c r="AI53" s="288"/>
      <c r="AJ53" s="288"/>
      <c r="AK53" s="288"/>
      <c r="AL53" s="288"/>
      <c r="AM53" s="288"/>
      <c r="AN53" s="288"/>
      <c r="AO53" s="288"/>
      <c r="AP53" s="288"/>
      <c r="AQ53" s="288"/>
      <c r="AR53" s="288"/>
      <c r="AS53" s="288"/>
      <c r="AT53" s="288"/>
      <c r="AU53" s="288"/>
      <c r="AV53" s="288"/>
      <c r="AW53" s="288"/>
      <c r="AX53" s="288"/>
      <c r="AY53" s="288"/>
    </row>
    <row r="54" spans="1:51" s="413" customFormat="1" ht="24.95" customHeight="1" x14ac:dyDescent="0.35">
      <c r="A54" s="508" t="s">
        <v>320</v>
      </c>
      <c r="B54" s="509">
        <v>28290</v>
      </c>
      <c r="C54" s="510">
        <v>36900</v>
      </c>
      <c r="D54" s="509" t="s">
        <v>249</v>
      </c>
      <c r="E54" s="509" t="s">
        <v>321</v>
      </c>
      <c r="F54" s="509"/>
      <c r="G54" s="509"/>
      <c r="H54" s="509" t="s">
        <v>164</v>
      </c>
      <c r="I54" s="509" t="s">
        <v>266</v>
      </c>
      <c r="J54" s="509" t="s">
        <v>62</v>
      </c>
      <c r="K54" s="509"/>
      <c r="L54" s="511" t="s">
        <v>322</v>
      </c>
      <c r="M54" s="511"/>
      <c r="N54" s="509"/>
      <c r="O54" s="491" t="str">
        <f t="shared" si="4"/>
        <v>INSERT VALUE HERE</v>
      </c>
      <c r="P54" s="509" t="str">
        <f t="shared" si="5"/>
        <v>INSERT CURRENCY</v>
      </c>
      <c r="Q54" s="513" t="e">
        <f t="shared" si="6"/>
        <v>#VALUE!</v>
      </c>
      <c r="R54" s="543"/>
      <c r="S54" s="544"/>
      <c r="T54" s="545"/>
      <c r="U54" s="539" t="s">
        <v>66</v>
      </c>
      <c r="V54" s="511"/>
      <c r="W54" s="545"/>
      <c r="X54" s="712">
        <v>55440</v>
      </c>
      <c r="Y54" s="515" t="s">
        <v>215</v>
      </c>
      <c r="AA54" s="693"/>
      <c r="AB54" s="693"/>
      <c r="AC54" s="490"/>
      <c r="AD54" s="501"/>
      <c r="AE54" s="286"/>
      <c r="AF54" s="288"/>
      <c r="AG54" s="288"/>
      <c r="AH54" s="288"/>
      <c r="AI54" s="288"/>
      <c r="AJ54" s="288"/>
      <c r="AK54" s="288"/>
      <c r="AL54" s="288"/>
      <c r="AM54" s="288"/>
      <c r="AN54" s="288"/>
      <c r="AO54" s="288"/>
      <c r="AP54" s="288"/>
      <c r="AQ54" s="288"/>
      <c r="AR54" s="288"/>
      <c r="AS54" s="288"/>
      <c r="AT54" s="288"/>
      <c r="AU54" s="288"/>
      <c r="AV54" s="288"/>
      <c r="AW54" s="288"/>
      <c r="AX54" s="288"/>
      <c r="AY54" s="288"/>
    </row>
    <row r="55" spans="1:51" s="413" customFormat="1" ht="24.95" customHeight="1" x14ac:dyDescent="0.35">
      <c r="A55" s="777" t="s">
        <v>193</v>
      </c>
      <c r="B55" s="522">
        <v>32116</v>
      </c>
      <c r="C55" s="489">
        <f>26350*2.20462</f>
        <v>58091.736999999994</v>
      </c>
      <c r="D55" s="522" t="s">
        <v>48</v>
      </c>
      <c r="E55" s="522" t="s">
        <v>230</v>
      </c>
      <c r="F55" s="522"/>
      <c r="G55" s="522"/>
      <c r="H55" s="522" t="s">
        <v>109</v>
      </c>
      <c r="I55" s="779" t="s">
        <v>74</v>
      </c>
      <c r="J55" s="522" t="s">
        <v>75</v>
      </c>
      <c r="K55" s="522"/>
      <c r="L55" s="780" t="s">
        <v>312</v>
      </c>
      <c r="M55" s="506" t="str">
        <f>IF(OR(H55="cif", H55="cfr"), "-", "INSERT NAME HERE")</f>
        <v>-</v>
      </c>
      <c r="N55" s="819" t="s">
        <v>40</v>
      </c>
      <c r="O55" s="538">
        <f t="shared" si="4"/>
        <v>575</v>
      </c>
      <c r="P55" s="522" t="str">
        <f t="shared" si="5"/>
        <v>CAD</v>
      </c>
      <c r="Q55" s="504">
        <f t="shared" si="6"/>
        <v>9.8981374924285714E-3</v>
      </c>
      <c r="R55" s="490"/>
      <c r="S55" s="492"/>
      <c r="T55" s="490"/>
      <c r="U55" s="505" t="s">
        <v>43</v>
      </c>
      <c r="V55" s="490"/>
      <c r="W55" s="549" t="s">
        <v>45</v>
      </c>
      <c r="X55" s="557">
        <f>54017.5*0.8</f>
        <v>43214</v>
      </c>
      <c r="Y55" s="498"/>
      <c r="Z55" s="498" t="s">
        <v>41</v>
      </c>
      <c r="AA55" s="535"/>
      <c r="AB55" s="535"/>
      <c r="AC55" s="828"/>
      <c r="AD55" s="501"/>
      <c r="AE55" s="826"/>
      <c r="AF55" s="288"/>
      <c r="AG55" s="288"/>
      <c r="AH55" s="288"/>
      <c r="AI55" s="288"/>
      <c r="AJ55" s="288"/>
      <c r="AK55" s="288"/>
      <c r="AL55" s="288"/>
      <c r="AM55" s="288"/>
      <c r="AN55" s="288"/>
      <c r="AO55" s="288"/>
      <c r="AP55" s="288"/>
      <c r="AQ55" s="288"/>
      <c r="AR55" s="288"/>
      <c r="AS55" s="288"/>
      <c r="AT55" s="288"/>
      <c r="AU55" s="288"/>
      <c r="AV55" s="288"/>
      <c r="AW55" s="288"/>
      <c r="AX55" s="288"/>
      <c r="AY55" s="288"/>
    </row>
    <row r="56" spans="1:51" s="413" customFormat="1" ht="24.95" customHeight="1" x14ac:dyDescent="0.35">
      <c r="A56" s="777" t="s">
        <v>193</v>
      </c>
      <c r="B56" s="522">
        <v>32117</v>
      </c>
      <c r="C56" s="489">
        <f>26350*2.20462</f>
        <v>58091.736999999994</v>
      </c>
      <c r="D56" s="522" t="s">
        <v>48</v>
      </c>
      <c r="E56" s="522" t="s">
        <v>230</v>
      </c>
      <c r="F56" s="522"/>
      <c r="G56" s="522"/>
      <c r="H56" s="522" t="s">
        <v>109</v>
      </c>
      <c r="I56" s="779" t="s">
        <v>74</v>
      </c>
      <c r="J56" s="522" t="s">
        <v>75</v>
      </c>
      <c r="K56" s="522"/>
      <c r="L56" s="780" t="s">
        <v>312</v>
      </c>
      <c r="M56" s="506" t="str">
        <f>IF(OR(H56="cif", H56="cfr"), "-", "INSERT NAME HERE")</f>
        <v>-</v>
      </c>
      <c r="N56" s="819" t="s">
        <v>40</v>
      </c>
      <c r="O56" s="538">
        <f t="shared" si="4"/>
        <v>575</v>
      </c>
      <c r="P56" s="522" t="str">
        <f t="shared" si="5"/>
        <v>CAD</v>
      </c>
      <c r="Q56" s="504">
        <f t="shared" si="6"/>
        <v>9.8981374924285714E-3</v>
      </c>
      <c r="R56" s="490"/>
      <c r="S56" s="492"/>
      <c r="T56" s="490"/>
      <c r="U56" s="505" t="s">
        <v>43</v>
      </c>
      <c r="V56" s="490"/>
      <c r="W56" s="549" t="s">
        <v>45</v>
      </c>
      <c r="X56" s="557">
        <f>54017.5*0.8</f>
        <v>43214</v>
      </c>
      <c r="Y56" s="498"/>
      <c r="Z56" s="498" t="s">
        <v>41</v>
      </c>
      <c r="AA56" s="535"/>
      <c r="AB56" s="535"/>
      <c r="AC56" s="828"/>
      <c r="AD56" s="501"/>
      <c r="AE56" s="826"/>
      <c r="AF56" s="288"/>
      <c r="AG56" s="288"/>
      <c r="AH56" s="288"/>
      <c r="AI56" s="288"/>
      <c r="AJ56" s="288"/>
      <c r="AK56" s="288"/>
      <c r="AL56" s="288"/>
      <c r="AM56" s="288"/>
      <c r="AN56" s="288"/>
      <c r="AO56" s="288"/>
      <c r="AP56" s="288"/>
      <c r="AQ56" s="288"/>
      <c r="AR56" s="288"/>
      <c r="AS56" s="288"/>
      <c r="AT56" s="288"/>
      <c r="AU56" s="288"/>
      <c r="AV56" s="288"/>
      <c r="AW56" s="288"/>
      <c r="AX56" s="288"/>
      <c r="AY56" s="288"/>
    </row>
    <row r="57" spans="1:51" s="413" customFormat="1" ht="24.95" customHeight="1" x14ac:dyDescent="0.35">
      <c r="A57" s="777" t="s">
        <v>257</v>
      </c>
      <c r="B57" s="522">
        <v>32125</v>
      </c>
      <c r="C57" s="521">
        <f>20000*2.20462</f>
        <v>44092.399999999994</v>
      </c>
      <c r="D57" s="522" t="s">
        <v>94</v>
      </c>
      <c r="E57" s="778" t="s">
        <v>258</v>
      </c>
      <c r="F57" s="522"/>
      <c r="G57" s="522"/>
      <c r="H57" s="522" t="s">
        <v>37</v>
      </c>
      <c r="I57" s="779" t="s">
        <v>97</v>
      </c>
      <c r="J57" s="537" t="s">
        <v>98</v>
      </c>
      <c r="K57" s="537"/>
      <c r="L57" s="780" t="s">
        <v>323</v>
      </c>
      <c r="M57" s="491" t="str">
        <f>IF(OR(H57="cif", H57="cfr"), "-", "INSERT NAME HERE")</f>
        <v>INSERT NAME HERE</v>
      </c>
      <c r="N57" s="503" t="s">
        <v>40</v>
      </c>
      <c r="O57" s="491" t="str">
        <f t="shared" si="4"/>
        <v>INSERT VALUE HERE</v>
      </c>
      <c r="P57" s="488" t="str">
        <f t="shared" si="5"/>
        <v>INSERT CURRENCY</v>
      </c>
      <c r="Q57" s="504" t="e">
        <f t="shared" si="6"/>
        <v>#VALUE!</v>
      </c>
      <c r="R57" s="490"/>
      <c r="S57" s="495"/>
      <c r="T57" s="490"/>
      <c r="U57" s="505"/>
      <c r="V57" s="490"/>
      <c r="W57" s="549"/>
      <c r="X57" s="497">
        <v>76000</v>
      </c>
      <c r="Y57" s="498"/>
      <c r="Z57" s="498"/>
      <c r="AA57" s="535"/>
      <c r="AB57" s="535"/>
      <c r="AC57" s="828"/>
      <c r="AD57" s="501"/>
      <c r="AE57" s="826"/>
      <c r="AF57" s="288"/>
      <c r="AG57" s="288"/>
      <c r="AH57" s="288"/>
      <c r="AI57" s="288"/>
      <c r="AJ57" s="288"/>
      <c r="AK57" s="288"/>
      <c r="AL57" s="288"/>
      <c r="AM57" s="288"/>
      <c r="AN57" s="288"/>
      <c r="AO57" s="288"/>
      <c r="AP57" s="288"/>
      <c r="AQ57" s="288"/>
      <c r="AR57" s="288"/>
      <c r="AS57" s="288"/>
      <c r="AT57" s="288"/>
      <c r="AU57" s="288"/>
      <c r="AV57" s="288"/>
      <c r="AW57" s="288"/>
      <c r="AX57" s="288"/>
      <c r="AY57" s="288"/>
    </row>
    <row r="58" spans="1:51" s="413" customFormat="1" ht="24.95" customHeight="1" x14ac:dyDescent="0.35">
      <c r="A58" s="777" t="s">
        <v>257</v>
      </c>
      <c r="B58" s="522">
        <v>32126</v>
      </c>
      <c r="C58" s="521">
        <f>20000*2.20462</f>
        <v>44092.399999999994</v>
      </c>
      <c r="D58" s="522" t="s">
        <v>94</v>
      </c>
      <c r="E58" s="778" t="s">
        <v>258</v>
      </c>
      <c r="F58" s="522"/>
      <c r="G58" s="522"/>
      <c r="H58" s="522" t="s">
        <v>37</v>
      </c>
      <c r="I58" s="779" t="s">
        <v>97</v>
      </c>
      <c r="J58" s="537" t="s">
        <v>98</v>
      </c>
      <c r="K58" s="537"/>
      <c r="L58" s="780" t="s">
        <v>323</v>
      </c>
      <c r="M58" s="491" t="str">
        <f>IF(OR(H58="cif", H58="cfr"), "-", "INSERT NAME HERE")</f>
        <v>INSERT NAME HERE</v>
      </c>
      <c r="N58" s="503" t="s">
        <v>40</v>
      </c>
      <c r="O58" s="491" t="str">
        <f t="shared" si="4"/>
        <v>INSERT VALUE HERE</v>
      </c>
      <c r="P58" s="488" t="str">
        <f t="shared" si="5"/>
        <v>INSERT CURRENCY</v>
      </c>
      <c r="Q58" s="504" t="e">
        <f t="shared" si="6"/>
        <v>#VALUE!</v>
      </c>
      <c r="R58" s="490"/>
      <c r="S58" s="495"/>
      <c r="T58" s="490"/>
      <c r="U58" s="505"/>
      <c r="V58" s="490"/>
      <c r="W58" s="549"/>
      <c r="X58" s="497">
        <v>76000</v>
      </c>
      <c r="Y58" s="498"/>
      <c r="Z58" s="498"/>
      <c r="AA58" s="535"/>
      <c r="AB58" s="535"/>
      <c r="AC58" s="828"/>
      <c r="AD58" s="501"/>
      <c r="AE58" s="826"/>
      <c r="AF58" s="288"/>
      <c r="AG58" s="288"/>
      <c r="AH58" s="288"/>
      <c r="AI58" s="288"/>
      <c r="AJ58" s="288"/>
      <c r="AK58" s="288"/>
      <c r="AL58" s="288"/>
      <c r="AM58" s="288"/>
      <c r="AN58" s="288"/>
      <c r="AO58" s="288"/>
      <c r="AP58" s="288"/>
      <c r="AQ58" s="288"/>
      <c r="AR58" s="288"/>
      <c r="AS58" s="288"/>
      <c r="AT58" s="288"/>
      <c r="AU58" s="288"/>
      <c r="AV58" s="288"/>
      <c r="AW58" s="288"/>
      <c r="AX58" s="288"/>
      <c r="AY58" s="288"/>
    </row>
    <row r="59" spans="1:51" s="413" customFormat="1" ht="24.95" customHeight="1" x14ac:dyDescent="0.35">
      <c r="A59" s="508" t="s">
        <v>113</v>
      </c>
      <c r="B59" s="509">
        <v>31847</v>
      </c>
      <c r="C59" s="510">
        <f>504*30</f>
        <v>15120</v>
      </c>
      <c r="D59" s="509">
        <v>7</v>
      </c>
      <c r="E59" s="509" t="s">
        <v>324</v>
      </c>
      <c r="F59" s="509"/>
      <c r="G59" s="509"/>
      <c r="H59" s="509" t="s">
        <v>37</v>
      </c>
      <c r="I59" s="509" t="s">
        <v>115</v>
      </c>
      <c r="J59" s="509" t="s">
        <v>62</v>
      </c>
      <c r="K59" s="509"/>
      <c r="L59" s="511" t="s">
        <v>277</v>
      </c>
      <c r="M59" s="511"/>
      <c r="N59" s="509"/>
      <c r="O59" s="491" t="str">
        <f t="shared" si="4"/>
        <v>INSERT VALUE HERE</v>
      </c>
      <c r="P59" s="509" t="str">
        <f t="shared" si="5"/>
        <v>INSERT CURRENCY</v>
      </c>
      <c r="Q59" s="513"/>
      <c r="R59" s="543"/>
      <c r="S59" s="544"/>
      <c r="T59" s="545"/>
      <c r="U59" s="539"/>
      <c r="V59" s="511"/>
      <c r="W59" s="545"/>
      <c r="X59" s="712"/>
      <c r="Y59" s="515"/>
      <c r="AA59" s="693"/>
      <c r="AB59" s="693"/>
      <c r="AC59" s="490"/>
      <c r="AD59" s="501"/>
      <c r="AE59" s="286"/>
      <c r="AF59" s="288"/>
      <c r="AG59" s="288"/>
      <c r="AH59" s="288"/>
      <c r="AI59" s="288"/>
      <c r="AJ59" s="288"/>
      <c r="AK59" s="288"/>
      <c r="AL59" s="288"/>
      <c r="AM59" s="288"/>
      <c r="AN59" s="288"/>
      <c r="AO59" s="288"/>
      <c r="AP59" s="288"/>
      <c r="AQ59" s="288"/>
      <c r="AR59" s="288"/>
      <c r="AS59" s="288"/>
      <c r="AT59" s="288"/>
      <c r="AU59" s="288"/>
      <c r="AV59" s="288"/>
      <c r="AW59" s="288"/>
      <c r="AX59" s="288"/>
      <c r="AY59" s="288"/>
    </row>
    <row r="61" spans="1:51" s="288" customFormat="1" ht="24.95" customHeight="1" x14ac:dyDescent="0.35">
      <c r="A61" s="569"/>
      <c r="B61" s="570"/>
      <c r="C61" s="571"/>
      <c r="D61" s="570"/>
      <c r="E61" s="570"/>
      <c r="F61" s="570"/>
      <c r="G61" s="570"/>
      <c r="H61" s="570"/>
      <c r="I61" s="570"/>
      <c r="J61" s="570"/>
      <c r="K61" s="570"/>
      <c r="L61" s="573"/>
      <c r="M61" s="573"/>
      <c r="N61" s="570"/>
      <c r="O61" s="575"/>
      <c r="P61" s="570"/>
      <c r="Q61" s="578"/>
      <c r="R61" s="573"/>
      <c r="S61" s="578"/>
      <c r="T61" s="573"/>
      <c r="U61" s="667"/>
      <c r="V61" s="573"/>
      <c r="W61" s="668"/>
      <c r="X61" s="581"/>
      <c r="Y61" s="579"/>
      <c r="AA61" s="579"/>
      <c r="AB61" s="579"/>
      <c r="AC61" s="573"/>
      <c r="AD61" s="605"/>
      <c r="AE61" s="583"/>
    </row>
    <row r="62" spans="1:51" s="288" customFormat="1" ht="24.95" customHeight="1" x14ac:dyDescent="0.35">
      <c r="A62" s="569"/>
      <c r="B62" s="570"/>
      <c r="C62" s="571"/>
      <c r="D62" s="570"/>
      <c r="E62" s="570"/>
      <c r="F62" s="304"/>
      <c r="G62" s="570"/>
      <c r="H62" s="572"/>
      <c r="I62" s="572"/>
      <c r="J62" s="572"/>
      <c r="K62" s="572"/>
      <c r="M62" s="573"/>
      <c r="N62" s="574"/>
      <c r="O62" s="575"/>
      <c r="P62" s="570"/>
      <c r="Q62" s="576"/>
      <c r="R62" s="577"/>
      <c r="S62" s="578"/>
      <c r="T62" s="579"/>
      <c r="U62" s="580"/>
      <c r="V62" s="573"/>
      <c r="W62" s="579"/>
      <c r="X62" s="581"/>
      <c r="Y62" s="579"/>
      <c r="AA62" s="579"/>
      <c r="AB62" s="579"/>
      <c r="AC62" s="573"/>
      <c r="AD62" s="582"/>
      <c r="AE62" s="583"/>
    </row>
    <row r="64" spans="1:51" s="288" customFormat="1" ht="24.95" hidden="1" customHeight="1" x14ac:dyDescent="0.3">
      <c r="A64" s="414" t="s">
        <v>325</v>
      </c>
      <c r="B64" s="285">
        <v>27989</v>
      </c>
      <c r="C64" s="289">
        <v>1210</v>
      </c>
      <c r="D64" s="285">
        <v>1</v>
      </c>
      <c r="E64" s="285" t="s">
        <v>326</v>
      </c>
      <c r="F64" s="285"/>
      <c r="G64" s="285"/>
      <c r="H64" s="301" t="s">
        <v>164</v>
      </c>
      <c r="I64" s="301" t="s">
        <v>327</v>
      </c>
      <c r="J64" s="301" t="s">
        <v>75</v>
      </c>
      <c r="K64" s="301"/>
      <c r="L64" s="300"/>
      <c r="M64" s="284"/>
      <c r="N64" s="294"/>
      <c r="O64" s="290"/>
      <c r="P64" s="285" t="s">
        <v>41</v>
      </c>
      <c r="Q64" s="295"/>
      <c r="R64" s="302"/>
      <c r="S64" s="291"/>
      <c r="T64" s="287"/>
      <c r="U64" s="292" t="s">
        <v>328</v>
      </c>
      <c r="V64" s="284"/>
      <c r="W64" s="287"/>
      <c r="X64" s="404">
        <v>2075</v>
      </c>
      <c r="Y64" s="287" t="s">
        <v>329</v>
      </c>
      <c r="AA64" s="287"/>
      <c r="AB64" s="287"/>
      <c r="AC64" s="284"/>
      <c r="AD64" s="293"/>
      <c r="AE64" s="396"/>
    </row>
    <row r="65" spans="1:47" s="288" customFormat="1" ht="24.95" hidden="1" customHeight="1" x14ac:dyDescent="0.3">
      <c r="A65" s="414" t="s">
        <v>325</v>
      </c>
      <c r="B65" s="285">
        <v>28496</v>
      </c>
      <c r="C65" s="289">
        <v>1210</v>
      </c>
      <c r="D65" s="285">
        <v>1</v>
      </c>
      <c r="E65" s="285" t="s">
        <v>326</v>
      </c>
      <c r="F65" s="285"/>
      <c r="G65" s="285"/>
      <c r="H65" s="301" t="s">
        <v>164</v>
      </c>
      <c r="I65" s="301" t="s">
        <v>327</v>
      </c>
      <c r="J65" s="301" t="s">
        <v>75</v>
      </c>
      <c r="K65" s="301"/>
      <c r="L65" s="300"/>
      <c r="M65" s="284"/>
      <c r="N65" s="294"/>
      <c r="O65" s="290"/>
      <c r="P65" s="285" t="s">
        <v>41</v>
      </c>
      <c r="Q65" s="295"/>
      <c r="R65" s="302"/>
      <c r="S65" s="291"/>
      <c r="T65" s="287"/>
      <c r="U65" s="292" t="s">
        <v>328</v>
      </c>
      <c r="V65" s="284"/>
      <c r="W65" s="287"/>
      <c r="X65" s="404">
        <v>4160</v>
      </c>
      <c r="Y65" s="287" t="s">
        <v>329</v>
      </c>
      <c r="AA65" s="287"/>
      <c r="AB65" s="287"/>
      <c r="AC65" s="284"/>
      <c r="AD65" s="293"/>
      <c r="AE65" s="396"/>
    </row>
    <row r="66" spans="1:47" s="283" customFormat="1" ht="24.95" customHeight="1" x14ac:dyDescent="0.3">
      <c r="A66" s="406" t="s">
        <v>217</v>
      </c>
      <c r="AE66" s="288"/>
      <c r="AF66" s="288"/>
      <c r="AG66" s="288"/>
      <c r="AH66" s="288"/>
      <c r="AI66" s="288"/>
      <c r="AJ66" s="288"/>
      <c r="AK66" s="288"/>
      <c r="AL66" s="288"/>
      <c r="AM66" s="288"/>
      <c r="AN66" s="288"/>
      <c r="AO66" s="288"/>
      <c r="AP66" s="288"/>
      <c r="AQ66" s="288"/>
      <c r="AR66" s="288"/>
      <c r="AS66" s="288"/>
      <c r="AT66" s="288"/>
      <c r="AU66" s="288"/>
    </row>
    <row r="67" spans="1:47" s="283" customFormat="1" ht="20.25" x14ac:dyDescent="0.3">
      <c r="A67" s="306" t="s">
        <v>218</v>
      </c>
      <c r="AE67" s="288"/>
      <c r="AF67" s="288"/>
      <c r="AG67" s="288"/>
      <c r="AH67" s="288"/>
      <c r="AI67" s="288"/>
      <c r="AJ67" s="288"/>
      <c r="AK67" s="288"/>
      <c r="AL67" s="288"/>
      <c r="AM67" s="288"/>
      <c r="AN67" s="288"/>
      <c r="AO67" s="288"/>
      <c r="AP67" s="288"/>
      <c r="AQ67" s="288"/>
      <c r="AR67" s="288"/>
      <c r="AS67" s="288"/>
      <c r="AT67" s="288"/>
      <c r="AU67" s="288"/>
    </row>
    <row r="68" spans="1:47" ht="20.25" x14ac:dyDescent="0.2">
      <c r="A68" s="299" t="s">
        <v>219</v>
      </c>
    </row>
    <row r="69" spans="1:47" ht="20.25" x14ac:dyDescent="0.2">
      <c r="A69" s="307" t="s">
        <v>221</v>
      </c>
    </row>
  </sheetData>
  <autoFilter ref="A1:AD28" xr:uid="{00000000-0001-0000-0100-000000000000}">
    <sortState xmlns:xlrd2="http://schemas.microsoft.com/office/spreadsheetml/2017/richdata2" ref="A2:AD28">
      <sortCondition ref="L1:L28"/>
    </sortState>
  </autoFilter>
  <phoneticPr fontId="24" type="noConversion"/>
  <pageMargins left="0.31496062992125984" right="0.11811023622047245" top="0.15748031496062992" bottom="0.15748031496062992" header="0.31496062992125984" footer="0.31496062992125984"/>
  <pageSetup paperSize="5" scale="21"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710A-43B8-4049-8446-D6FEA2EBB634}">
  <sheetPr filterMode="1">
    <tabColor rgb="FF92D050"/>
  </sheetPr>
  <dimension ref="A1:AZ709"/>
  <sheetViews>
    <sheetView zoomScale="60" zoomScaleNormal="60" workbookViewId="0">
      <pane xSplit="8" ySplit="1" topLeftCell="I684" activePane="bottomRight" state="frozen"/>
      <selection pane="topRight" activeCell="I1" sqref="I1"/>
      <selection pane="bottomLeft" activeCell="A2" sqref="A2"/>
      <selection pane="bottomRight" activeCell="Q715" sqref="Q715"/>
    </sheetView>
  </sheetViews>
  <sheetFormatPr defaultColWidth="11.42578125" defaultRowHeight="12.75" x14ac:dyDescent="0.2"/>
  <cols>
    <col min="1" max="1" width="36.42578125" bestFit="1" customWidth="1"/>
    <col min="2" max="2" width="12" customWidth="1"/>
    <col min="3" max="3" width="18.42578125" hidden="1" customWidth="1"/>
    <col min="4" max="4" width="8.140625" hidden="1" customWidth="1"/>
    <col min="5" max="5" width="80" hidden="1" customWidth="1"/>
    <col min="6" max="6" width="22.85546875" customWidth="1"/>
    <col min="7" max="7" width="16.85546875" customWidth="1"/>
    <col min="8" max="8" width="21.5703125" customWidth="1"/>
    <col min="9" max="9" width="33.28515625" customWidth="1"/>
    <col min="10" max="11" width="33.28515625" hidden="1" customWidth="1"/>
    <col min="12" max="12" width="44.28515625" customWidth="1"/>
    <col min="13" max="13" width="32.140625" customWidth="1"/>
    <col min="14" max="14" width="32.42578125" customWidth="1"/>
    <col min="15" max="15" width="23.140625" customWidth="1"/>
    <col min="16" max="16" width="22.7109375" bestFit="1" customWidth="1"/>
    <col min="17" max="17" width="24.42578125" customWidth="1"/>
    <col min="18" max="18" width="28" hidden="1" customWidth="1"/>
    <col min="19" max="19" width="24.42578125" hidden="1" customWidth="1"/>
    <col min="20" max="20" width="34.85546875" customWidth="1"/>
    <col min="21" max="21" width="26.42578125" hidden="1" customWidth="1"/>
    <col min="22" max="22" width="49" bestFit="1" customWidth="1"/>
    <col min="23" max="23" width="32.5703125" hidden="1" customWidth="1"/>
    <col min="24" max="24" width="20.42578125" hidden="1" customWidth="1"/>
    <col min="25" max="26" width="22.85546875" hidden="1" customWidth="1"/>
    <col min="27" max="27" width="26.7109375" hidden="1" customWidth="1"/>
    <col min="28" max="28" width="38" hidden="1" customWidth="1"/>
    <col min="29" max="29" width="34.42578125" customWidth="1"/>
    <col min="30" max="30" width="61.28515625" hidden="1" customWidth="1"/>
    <col min="31" max="31" width="60.140625" bestFit="1" customWidth="1"/>
  </cols>
  <sheetData>
    <row r="1" spans="1:31" ht="70.5" customHeight="1" x14ac:dyDescent="0.2">
      <c r="A1" s="57" t="s">
        <v>1</v>
      </c>
      <c r="B1" s="58" t="s">
        <v>2</v>
      </c>
      <c r="C1" s="58" t="s">
        <v>3</v>
      </c>
      <c r="D1" s="58" t="s">
        <v>4</v>
      </c>
      <c r="E1" s="58" t="s">
        <v>5</v>
      </c>
      <c r="F1" s="58" t="s">
        <v>6</v>
      </c>
      <c r="G1" s="58" t="s">
        <v>7</v>
      </c>
      <c r="H1" s="58" t="s">
        <v>8</v>
      </c>
      <c r="I1" s="58" t="s">
        <v>9</v>
      </c>
      <c r="J1" s="58" t="s">
        <v>10</v>
      </c>
      <c r="K1" s="58" t="s">
        <v>11</v>
      </c>
      <c r="L1" s="58" t="s">
        <v>12</v>
      </c>
      <c r="M1" s="59" t="s">
        <v>13</v>
      </c>
      <c r="N1" s="58" t="s">
        <v>14</v>
      </c>
      <c r="O1" s="59" t="s">
        <v>15</v>
      </c>
      <c r="P1" s="1" t="s">
        <v>16</v>
      </c>
      <c r="Q1" s="59" t="s">
        <v>330</v>
      </c>
      <c r="R1" s="60" t="s">
        <v>18</v>
      </c>
      <c r="S1" s="60" t="s">
        <v>19</v>
      </c>
      <c r="T1" s="58" t="s">
        <v>236</v>
      </c>
      <c r="U1" s="58" t="s">
        <v>21</v>
      </c>
      <c r="V1" s="58" t="s">
        <v>22</v>
      </c>
      <c r="W1" s="60" t="s">
        <v>23</v>
      </c>
      <c r="X1" s="61" t="s">
        <v>24</v>
      </c>
      <c r="Y1" s="60" t="s">
        <v>237</v>
      </c>
      <c r="Z1" s="60" t="s">
        <v>26</v>
      </c>
      <c r="AA1" s="1" t="s">
        <v>27</v>
      </c>
      <c r="AB1" s="1" t="s">
        <v>28</v>
      </c>
      <c r="AC1" s="1" t="s">
        <v>331</v>
      </c>
      <c r="AD1" s="1" t="s">
        <v>30</v>
      </c>
      <c r="AE1" s="1" t="s">
        <v>31</v>
      </c>
    </row>
    <row r="2" spans="1:31" s="2" customFormat="1" ht="18" hidden="1" x14ac:dyDescent="0.25">
      <c r="A2" s="86" t="s">
        <v>263</v>
      </c>
      <c r="B2" s="87">
        <v>24470</v>
      </c>
      <c r="C2" s="88">
        <v>40000</v>
      </c>
      <c r="D2" s="87" t="s">
        <v>249</v>
      </c>
      <c r="E2" s="89" t="s">
        <v>332</v>
      </c>
      <c r="F2" s="87"/>
      <c r="G2" s="87"/>
      <c r="H2" s="90" t="s">
        <v>37</v>
      </c>
      <c r="I2" s="90" t="s">
        <v>266</v>
      </c>
      <c r="J2" s="90" t="s">
        <v>62</v>
      </c>
      <c r="K2" s="90"/>
      <c r="L2" s="91">
        <v>45287</v>
      </c>
      <c r="M2" s="91"/>
      <c r="N2" s="87" t="s">
        <v>333</v>
      </c>
      <c r="O2" s="92">
        <v>3200</v>
      </c>
      <c r="P2" s="87" t="s">
        <v>80</v>
      </c>
      <c r="Q2" s="93">
        <f t="shared" ref="Q2:Q17" si="0">+O2/C2</f>
        <v>0.08</v>
      </c>
      <c r="R2" s="91"/>
      <c r="S2" s="93"/>
      <c r="T2" s="91">
        <v>45294</v>
      </c>
      <c r="U2" s="94" t="s">
        <v>66</v>
      </c>
      <c r="V2" s="91">
        <v>45294</v>
      </c>
      <c r="W2" s="90" t="s">
        <v>334</v>
      </c>
      <c r="X2" s="95">
        <v>65200</v>
      </c>
      <c r="Y2" s="90" t="s">
        <v>215</v>
      </c>
      <c r="Z2" s="90"/>
      <c r="AA2" s="78"/>
      <c r="AB2" s="78"/>
      <c r="AC2" s="71">
        <v>45288</v>
      </c>
      <c r="AD2" s="96"/>
      <c r="AE2" s="7">
        <v>45294</v>
      </c>
    </row>
    <row r="3" spans="1:31" s="2" customFormat="1" ht="27.75" hidden="1" customHeight="1" x14ac:dyDescent="0.25">
      <c r="A3" s="66" t="s">
        <v>335</v>
      </c>
      <c r="B3" s="67">
        <v>24670</v>
      </c>
      <c r="C3" s="68">
        <v>35200</v>
      </c>
      <c r="D3" s="67" t="s">
        <v>105</v>
      </c>
      <c r="E3" s="69" t="s">
        <v>336</v>
      </c>
      <c r="F3" s="67" t="s">
        <v>337</v>
      </c>
      <c r="G3" s="67" t="s">
        <v>130</v>
      </c>
      <c r="H3" s="70" t="s">
        <v>37</v>
      </c>
      <c r="I3" s="70" t="s">
        <v>338</v>
      </c>
      <c r="J3" s="70" t="s">
        <v>38</v>
      </c>
      <c r="K3" s="70"/>
      <c r="L3" s="71">
        <v>45253</v>
      </c>
      <c r="M3" s="72" t="s">
        <v>339</v>
      </c>
      <c r="N3" s="73" t="s">
        <v>40</v>
      </c>
      <c r="O3" s="74">
        <f>3470+400</f>
        <v>3870</v>
      </c>
      <c r="P3" s="67" t="s">
        <v>80</v>
      </c>
      <c r="Q3" s="75">
        <f t="shared" si="0"/>
        <v>0.10994318181818181</v>
      </c>
      <c r="R3" s="71">
        <v>45289</v>
      </c>
      <c r="S3" s="75" t="s">
        <v>340</v>
      </c>
      <c r="T3" s="71">
        <v>45293</v>
      </c>
      <c r="U3" s="67" t="s">
        <v>76</v>
      </c>
      <c r="V3" s="71">
        <v>45296</v>
      </c>
      <c r="W3" s="76" t="s">
        <v>45</v>
      </c>
      <c r="X3" s="77">
        <f>88000-17600</f>
        <v>70400</v>
      </c>
      <c r="Y3" s="70" t="s">
        <v>341</v>
      </c>
      <c r="Z3" s="70"/>
      <c r="AA3" s="78"/>
      <c r="AB3" s="71">
        <v>45296</v>
      </c>
      <c r="AC3" s="71">
        <v>45295</v>
      </c>
      <c r="AD3" s="79"/>
      <c r="AE3" s="7">
        <v>45310</v>
      </c>
    </row>
    <row r="4" spans="1:31" s="2" customFormat="1" ht="18" hidden="1" x14ac:dyDescent="0.25">
      <c r="A4" s="80" t="s">
        <v>342</v>
      </c>
      <c r="B4" s="4">
        <v>24246</v>
      </c>
      <c r="C4" s="5">
        <v>36750</v>
      </c>
      <c r="D4" s="4" t="s">
        <v>105</v>
      </c>
      <c r="E4" s="4" t="s">
        <v>343</v>
      </c>
      <c r="F4" s="4" t="s">
        <v>344</v>
      </c>
      <c r="G4" s="4" t="s">
        <v>345</v>
      </c>
      <c r="H4" s="4" t="s">
        <v>346</v>
      </c>
      <c r="I4" s="4"/>
      <c r="J4" s="4" t="s">
        <v>347</v>
      </c>
      <c r="K4" s="4"/>
      <c r="L4" s="7">
        <v>45213</v>
      </c>
      <c r="M4" s="7"/>
      <c r="N4" s="6" t="s">
        <v>40</v>
      </c>
      <c r="O4" s="81">
        <v>575</v>
      </c>
      <c r="P4" s="4" t="s">
        <v>80</v>
      </c>
      <c r="Q4" s="19">
        <f t="shared" si="0"/>
        <v>1.5646258503401362E-2</v>
      </c>
      <c r="R4" s="85">
        <v>45279</v>
      </c>
      <c r="S4" s="19" t="s">
        <v>65</v>
      </c>
      <c r="T4" s="7">
        <v>45294</v>
      </c>
      <c r="U4" s="4" t="s">
        <v>76</v>
      </c>
      <c r="V4" s="7">
        <v>45296</v>
      </c>
      <c r="W4" s="10" t="s">
        <v>45</v>
      </c>
      <c r="X4" s="82">
        <f>85627.5-17125.5</f>
        <v>68502</v>
      </c>
      <c r="Y4" s="83" t="s">
        <v>341</v>
      </c>
      <c r="Z4" s="83"/>
      <c r="AA4" s="84"/>
      <c r="AB4" s="85">
        <v>45295</v>
      </c>
      <c r="AC4" s="85">
        <v>45291</v>
      </c>
      <c r="AD4" s="3"/>
      <c r="AE4" s="7">
        <v>45310</v>
      </c>
    </row>
    <row r="5" spans="1:31" s="2" customFormat="1" ht="27.75" hidden="1" customHeight="1" x14ac:dyDescent="0.25">
      <c r="A5" s="66" t="s">
        <v>289</v>
      </c>
      <c r="B5" s="67">
        <v>24219</v>
      </c>
      <c r="C5" s="68">
        <v>40000</v>
      </c>
      <c r="D5" s="67" t="s">
        <v>105</v>
      </c>
      <c r="E5" s="69" t="s">
        <v>348</v>
      </c>
      <c r="F5" s="67" t="s">
        <v>349</v>
      </c>
      <c r="G5" s="67" t="s">
        <v>108</v>
      </c>
      <c r="H5" s="70" t="s">
        <v>37</v>
      </c>
      <c r="I5" s="70" t="s">
        <v>350</v>
      </c>
      <c r="J5" s="70" t="s">
        <v>292</v>
      </c>
      <c r="K5" s="70"/>
      <c r="L5" s="71">
        <v>45229</v>
      </c>
      <c r="M5" s="72" t="s">
        <v>339</v>
      </c>
      <c r="N5" s="73" t="s">
        <v>40</v>
      </c>
      <c r="O5" s="74">
        <f>3020+400</f>
        <v>3420</v>
      </c>
      <c r="P5" s="67" t="s">
        <v>41</v>
      </c>
      <c r="Q5" s="75">
        <f t="shared" si="0"/>
        <v>8.5500000000000007E-2</v>
      </c>
      <c r="R5" s="71">
        <v>45280</v>
      </c>
      <c r="S5" s="75" t="s">
        <v>121</v>
      </c>
      <c r="T5" s="71">
        <v>45296</v>
      </c>
      <c r="U5" s="67" t="s">
        <v>76</v>
      </c>
      <c r="V5" s="71">
        <v>45299</v>
      </c>
      <c r="W5" s="76" t="s">
        <v>45</v>
      </c>
      <c r="X5" s="77">
        <v>49885</v>
      </c>
      <c r="Y5" s="70" t="s">
        <v>341</v>
      </c>
      <c r="Z5" s="70"/>
      <c r="AA5" s="78"/>
      <c r="AB5" s="71">
        <v>45296</v>
      </c>
      <c r="AC5" s="71">
        <v>45296</v>
      </c>
      <c r="AD5" s="79"/>
      <c r="AE5" s="7">
        <v>45310</v>
      </c>
    </row>
    <row r="6" spans="1:31" s="2" customFormat="1" ht="18" hidden="1" x14ac:dyDescent="0.25">
      <c r="A6" s="80" t="s">
        <v>351</v>
      </c>
      <c r="B6" s="4">
        <v>24262</v>
      </c>
      <c r="C6" s="5">
        <v>50820</v>
      </c>
      <c r="D6" s="4" t="s">
        <v>48</v>
      </c>
      <c r="E6" s="4" t="s">
        <v>352</v>
      </c>
      <c r="F6" s="4" t="s">
        <v>353</v>
      </c>
      <c r="G6" s="4" t="s">
        <v>108</v>
      </c>
      <c r="H6" s="4" t="s">
        <v>51</v>
      </c>
      <c r="I6" s="4"/>
      <c r="J6" s="4" t="s">
        <v>38</v>
      </c>
      <c r="K6" s="4"/>
      <c r="L6" s="7">
        <v>45240</v>
      </c>
      <c r="M6" s="7"/>
      <c r="N6" s="6" t="s">
        <v>40</v>
      </c>
      <c r="O6" s="81">
        <v>575</v>
      </c>
      <c r="P6" s="4" t="s">
        <v>80</v>
      </c>
      <c r="Q6" s="19">
        <f t="shared" si="0"/>
        <v>1.1314443132624951E-2</v>
      </c>
      <c r="R6" s="85">
        <v>45280</v>
      </c>
      <c r="S6" s="19" t="s">
        <v>121</v>
      </c>
      <c r="T6" s="7">
        <v>45296</v>
      </c>
      <c r="U6" s="129" t="s">
        <v>354</v>
      </c>
      <c r="V6" s="71">
        <v>45299</v>
      </c>
      <c r="W6" s="10" t="s">
        <v>334</v>
      </c>
      <c r="X6" s="82">
        <v>106260</v>
      </c>
      <c r="Y6" s="83" t="s">
        <v>341</v>
      </c>
      <c r="Z6" s="83"/>
      <c r="AA6" s="84"/>
      <c r="AB6" s="85">
        <v>45295</v>
      </c>
      <c r="AC6" s="85">
        <v>45295</v>
      </c>
      <c r="AD6" s="3"/>
      <c r="AE6" s="7">
        <v>45310</v>
      </c>
    </row>
    <row r="7" spans="1:31" s="2" customFormat="1" ht="18" hidden="1" x14ac:dyDescent="0.25">
      <c r="A7" s="86" t="s">
        <v>267</v>
      </c>
      <c r="B7" s="87">
        <v>24539</v>
      </c>
      <c r="C7" s="88">
        <v>40000</v>
      </c>
      <c r="D7" s="87" t="s">
        <v>249</v>
      </c>
      <c r="E7" s="89" t="s">
        <v>355</v>
      </c>
      <c r="F7" s="87"/>
      <c r="G7" s="87"/>
      <c r="H7" s="90" t="s">
        <v>37</v>
      </c>
      <c r="I7" s="90" t="s">
        <v>356</v>
      </c>
      <c r="J7" s="90" t="s">
        <v>62</v>
      </c>
      <c r="K7" s="90"/>
      <c r="L7" s="91">
        <v>45293</v>
      </c>
      <c r="M7" s="91"/>
      <c r="N7" s="87" t="s">
        <v>357</v>
      </c>
      <c r="O7" s="92">
        <v>6800</v>
      </c>
      <c r="P7" s="87" t="s">
        <v>80</v>
      </c>
      <c r="Q7" s="93">
        <f t="shared" si="0"/>
        <v>0.17</v>
      </c>
      <c r="R7" s="91"/>
      <c r="S7" s="93"/>
      <c r="T7" s="91"/>
      <c r="U7" s="94" t="s">
        <v>66</v>
      </c>
      <c r="V7" s="91">
        <v>45299</v>
      </c>
      <c r="W7" s="90" t="s">
        <v>358</v>
      </c>
      <c r="X7" s="95">
        <v>156366</v>
      </c>
      <c r="Y7" s="90" t="s">
        <v>215</v>
      </c>
      <c r="Z7" s="90"/>
      <c r="AA7" s="78"/>
      <c r="AB7" s="78"/>
      <c r="AC7" s="71">
        <v>45296</v>
      </c>
      <c r="AD7" s="96"/>
      <c r="AE7" s="7">
        <v>45299</v>
      </c>
    </row>
    <row r="8" spans="1:31" s="2" customFormat="1" ht="18" hidden="1" x14ac:dyDescent="0.25">
      <c r="A8" s="86" t="s">
        <v>267</v>
      </c>
      <c r="B8" s="87">
        <v>24358</v>
      </c>
      <c r="C8" s="88">
        <v>40000</v>
      </c>
      <c r="D8" s="87" t="s">
        <v>249</v>
      </c>
      <c r="E8" s="89" t="s">
        <v>359</v>
      </c>
      <c r="F8" s="87"/>
      <c r="G8" s="87"/>
      <c r="H8" s="90" t="s">
        <v>37</v>
      </c>
      <c r="I8" s="90" t="s">
        <v>356</v>
      </c>
      <c r="J8" s="90" t="s">
        <v>62</v>
      </c>
      <c r="K8" s="90"/>
      <c r="L8" s="91">
        <v>45288</v>
      </c>
      <c r="M8" s="91"/>
      <c r="N8" s="87" t="s">
        <v>333</v>
      </c>
      <c r="O8" s="92">
        <v>6300</v>
      </c>
      <c r="P8" s="87" t="s">
        <v>80</v>
      </c>
      <c r="Q8" s="93">
        <f t="shared" si="0"/>
        <v>0.1575</v>
      </c>
      <c r="R8" s="91"/>
      <c r="S8" s="93"/>
      <c r="T8" s="91">
        <v>45299</v>
      </c>
      <c r="U8" s="94" t="s">
        <v>66</v>
      </c>
      <c r="V8" s="91">
        <v>45299</v>
      </c>
      <c r="W8" s="90" t="s">
        <v>334</v>
      </c>
      <c r="X8" s="95">
        <v>90000</v>
      </c>
      <c r="Y8" s="90" t="s">
        <v>215</v>
      </c>
      <c r="Z8" s="90"/>
      <c r="AA8" s="78"/>
      <c r="AB8" s="78"/>
      <c r="AC8" s="71">
        <v>45290</v>
      </c>
      <c r="AD8" s="96"/>
      <c r="AE8" s="7">
        <v>45299</v>
      </c>
    </row>
    <row r="9" spans="1:31" s="2" customFormat="1" ht="18" hidden="1" x14ac:dyDescent="0.25">
      <c r="A9" s="80" t="s">
        <v>175</v>
      </c>
      <c r="B9" s="4">
        <v>24595</v>
      </c>
      <c r="C9" s="5">
        <v>44000</v>
      </c>
      <c r="D9" s="4" t="s">
        <v>105</v>
      </c>
      <c r="E9" s="4" t="s">
        <v>360</v>
      </c>
      <c r="F9" s="4" t="s">
        <v>361</v>
      </c>
      <c r="G9" s="4" t="s">
        <v>119</v>
      </c>
      <c r="H9" s="4" t="s">
        <v>51</v>
      </c>
      <c r="I9" s="4"/>
      <c r="J9" s="4"/>
      <c r="K9" s="4"/>
      <c r="L9" s="7">
        <v>45251</v>
      </c>
      <c r="M9" s="7"/>
      <c r="N9" s="6" t="s">
        <v>40</v>
      </c>
      <c r="O9" s="81">
        <v>575</v>
      </c>
      <c r="P9" s="4" t="s">
        <v>80</v>
      </c>
      <c r="Q9" s="19">
        <f t="shared" si="0"/>
        <v>1.3068181818181817E-2</v>
      </c>
      <c r="R9" s="85">
        <v>45273</v>
      </c>
      <c r="S9" s="19" t="s">
        <v>65</v>
      </c>
      <c r="T9" s="7">
        <v>45299</v>
      </c>
      <c r="U9" s="4" t="s">
        <v>178</v>
      </c>
      <c r="V9" s="7">
        <v>45300</v>
      </c>
      <c r="W9" s="10" t="s">
        <v>45</v>
      </c>
      <c r="X9" s="82">
        <v>32000</v>
      </c>
      <c r="Y9" s="83" t="s">
        <v>68</v>
      </c>
      <c r="Z9" s="83"/>
      <c r="AA9" s="84">
        <v>45294</v>
      </c>
      <c r="AB9" s="85">
        <v>45296</v>
      </c>
      <c r="AC9" s="85">
        <v>45299</v>
      </c>
      <c r="AD9" s="3"/>
      <c r="AE9" s="7">
        <v>45310</v>
      </c>
    </row>
    <row r="10" spans="1:31" s="2" customFormat="1" ht="26.25" hidden="1" customHeight="1" x14ac:dyDescent="0.25">
      <c r="A10" s="86" t="s">
        <v>362</v>
      </c>
      <c r="B10" s="87">
        <v>24853</v>
      </c>
      <c r="C10" s="88">
        <v>40500</v>
      </c>
      <c r="D10" s="87" t="s">
        <v>249</v>
      </c>
      <c r="E10" s="89" t="s">
        <v>363</v>
      </c>
      <c r="F10" s="87"/>
      <c r="G10" s="87"/>
      <c r="H10" s="90" t="s">
        <v>37</v>
      </c>
      <c r="I10" s="90" t="s">
        <v>276</v>
      </c>
      <c r="J10" s="90" t="s">
        <v>62</v>
      </c>
      <c r="K10" s="90"/>
      <c r="L10" s="91">
        <v>45294</v>
      </c>
      <c r="M10" s="91"/>
      <c r="N10" s="87" t="s">
        <v>357</v>
      </c>
      <c r="O10" s="92">
        <v>6400</v>
      </c>
      <c r="P10" s="87" t="s">
        <v>80</v>
      </c>
      <c r="Q10" s="93">
        <f t="shared" si="0"/>
        <v>0.15802469135802469</v>
      </c>
      <c r="R10" s="91"/>
      <c r="S10" s="93"/>
      <c r="T10" s="91"/>
      <c r="U10" s="94" t="s">
        <v>66</v>
      </c>
      <c r="V10" s="91">
        <v>45300</v>
      </c>
      <c r="W10" s="90" t="s">
        <v>45</v>
      </c>
      <c r="X10" s="95">
        <v>93645</v>
      </c>
      <c r="Y10" s="90" t="s">
        <v>215</v>
      </c>
      <c r="Z10" s="90"/>
      <c r="AA10" s="78"/>
      <c r="AB10" s="78"/>
      <c r="AC10" s="71">
        <v>45298</v>
      </c>
      <c r="AD10" s="96"/>
      <c r="AE10" s="7">
        <v>45300</v>
      </c>
    </row>
    <row r="11" spans="1:31" s="2" customFormat="1" ht="18" hidden="1" x14ac:dyDescent="0.25">
      <c r="A11" s="80" t="s">
        <v>364</v>
      </c>
      <c r="B11" s="4">
        <v>24521</v>
      </c>
      <c r="C11" s="5">
        <v>55000</v>
      </c>
      <c r="D11" s="4" t="s">
        <v>48</v>
      </c>
      <c r="E11" s="4" t="s">
        <v>365</v>
      </c>
      <c r="F11" s="4" t="s">
        <v>366</v>
      </c>
      <c r="G11" s="4" t="s">
        <v>130</v>
      </c>
      <c r="H11" s="4" t="s">
        <v>51</v>
      </c>
      <c r="I11" s="4"/>
      <c r="J11" s="4" t="s">
        <v>75</v>
      </c>
      <c r="K11" s="4"/>
      <c r="L11" s="7">
        <v>45243</v>
      </c>
      <c r="M11" s="7"/>
      <c r="N11" s="6" t="s">
        <v>40</v>
      </c>
      <c r="O11" s="81">
        <v>575</v>
      </c>
      <c r="P11" s="4" t="s">
        <v>80</v>
      </c>
      <c r="Q11" s="19">
        <f t="shared" si="0"/>
        <v>1.0454545454545454E-2</v>
      </c>
      <c r="R11" s="85">
        <v>45284</v>
      </c>
      <c r="S11" s="19" t="s">
        <v>65</v>
      </c>
      <c r="T11" s="7">
        <v>45298</v>
      </c>
      <c r="U11" s="4" t="s">
        <v>178</v>
      </c>
      <c r="V11" s="7">
        <v>45301</v>
      </c>
      <c r="W11" s="10" t="s">
        <v>45</v>
      </c>
      <c r="X11" s="82">
        <v>110139</v>
      </c>
      <c r="Y11" s="83" t="s">
        <v>341</v>
      </c>
      <c r="Z11" s="83"/>
      <c r="AA11" s="84"/>
      <c r="AB11" s="85">
        <v>45300</v>
      </c>
      <c r="AC11" s="85">
        <v>45299</v>
      </c>
      <c r="AD11" s="3"/>
      <c r="AE11" s="7">
        <v>45310</v>
      </c>
    </row>
    <row r="12" spans="1:31" s="2" customFormat="1" ht="18" hidden="1" x14ac:dyDescent="0.25">
      <c r="A12" s="80" t="s">
        <v>367</v>
      </c>
      <c r="B12" s="4">
        <v>24651</v>
      </c>
      <c r="C12" s="5">
        <v>55000</v>
      </c>
      <c r="D12" s="4" t="s">
        <v>48</v>
      </c>
      <c r="E12" s="4" t="s">
        <v>146</v>
      </c>
      <c r="F12" s="4" t="s">
        <v>368</v>
      </c>
      <c r="G12" s="4" t="s">
        <v>369</v>
      </c>
      <c r="H12" s="4" t="s">
        <v>109</v>
      </c>
      <c r="I12" s="4"/>
      <c r="J12" s="4" t="s">
        <v>75</v>
      </c>
      <c r="K12" s="4"/>
      <c r="L12" s="7">
        <v>45261</v>
      </c>
      <c r="M12" s="7"/>
      <c r="N12" s="6" t="s">
        <v>40</v>
      </c>
      <c r="O12" s="81">
        <v>575</v>
      </c>
      <c r="P12" s="4" t="s">
        <v>80</v>
      </c>
      <c r="Q12" s="19">
        <f t="shared" si="0"/>
        <v>1.0454545454545454E-2</v>
      </c>
      <c r="R12" s="85">
        <v>45280</v>
      </c>
      <c r="S12" s="19" t="s">
        <v>65</v>
      </c>
      <c r="T12" s="7">
        <v>45297</v>
      </c>
      <c r="U12" s="4" t="s">
        <v>76</v>
      </c>
      <c r="V12" s="7">
        <v>45301</v>
      </c>
      <c r="W12" s="10" t="s">
        <v>45</v>
      </c>
      <c r="X12" s="82">
        <v>94500</v>
      </c>
      <c r="Y12" s="83" t="s">
        <v>341</v>
      </c>
      <c r="Z12" s="83"/>
      <c r="AA12" s="84"/>
      <c r="AB12" s="85">
        <v>45301</v>
      </c>
      <c r="AC12" s="85">
        <v>45297</v>
      </c>
      <c r="AD12" s="3"/>
      <c r="AE12" s="7">
        <v>45310</v>
      </c>
    </row>
    <row r="13" spans="1:31" s="2" customFormat="1" ht="27.75" hidden="1" customHeight="1" x14ac:dyDescent="0.25">
      <c r="A13" s="66" t="s">
        <v>136</v>
      </c>
      <c r="B13" s="67">
        <v>24636</v>
      </c>
      <c r="C13" s="68">
        <v>40735</v>
      </c>
      <c r="D13" s="67" t="s">
        <v>105</v>
      </c>
      <c r="E13" s="69" t="s">
        <v>370</v>
      </c>
      <c r="F13" s="67" t="s">
        <v>371</v>
      </c>
      <c r="G13" s="67" t="s">
        <v>36</v>
      </c>
      <c r="H13" s="70" t="s">
        <v>37</v>
      </c>
      <c r="I13" s="70" t="s">
        <v>97</v>
      </c>
      <c r="J13" s="70" t="s">
        <v>98</v>
      </c>
      <c r="K13" s="70"/>
      <c r="L13" s="71">
        <v>45272</v>
      </c>
      <c r="M13" s="72" t="s">
        <v>372</v>
      </c>
      <c r="N13" s="73" t="s">
        <v>40</v>
      </c>
      <c r="O13" s="74">
        <f>1995+400</f>
        <v>2395</v>
      </c>
      <c r="P13" s="67" t="s">
        <v>41</v>
      </c>
      <c r="Q13" s="75">
        <f t="shared" si="0"/>
        <v>5.8794648336811098E-2</v>
      </c>
      <c r="R13" s="71"/>
      <c r="S13" s="75"/>
      <c r="T13" s="71">
        <v>45302</v>
      </c>
      <c r="U13" s="67" t="s">
        <v>43</v>
      </c>
      <c r="V13" s="71">
        <v>45303</v>
      </c>
      <c r="W13" s="76" t="s">
        <v>45</v>
      </c>
      <c r="X13" s="77">
        <v>85600</v>
      </c>
      <c r="Y13" s="70" t="s">
        <v>68</v>
      </c>
      <c r="Z13" s="70"/>
      <c r="AA13" s="78">
        <v>45302</v>
      </c>
      <c r="AB13" s="71">
        <v>45303</v>
      </c>
      <c r="AC13" s="71">
        <v>45300</v>
      </c>
      <c r="AD13" s="79"/>
      <c r="AE13" s="7">
        <v>45329</v>
      </c>
    </row>
    <row r="14" spans="1:31" s="2" customFormat="1" ht="18" hidden="1" x14ac:dyDescent="0.25">
      <c r="A14" s="80" t="s">
        <v>373</v>
      </c>
      <c r="B14" s="4">
        <v>24666</v>
      </c>
      <c r="C14" s="5">
        <v>55000</v>
      </c>
      <c r="D14" s="4" t="s">
        <v>33</v>
      </c>
      <c r="E14" s="4" t="s">
        <v>374</v>
      </c>
      <c r="F14" s="4" t="s">
        <v>375</v>
      </c>
      <c r="G14" s="4" t="s">
        <v>130</v>
      </c>
      <c r="H14" s="4" t="s">
        <v>51</v>
      </c>
      <c r="I14" s="4" t="s">
        <v>284</v>
      </c>
      <c r="J14" s="4" t="s">
        <v>285</v>
      </c>
      <c r="K14" s="4"/>
      <c r="L14" s="7">
        <v>45237</v>
      </c>
      <c r="M14" s="7"/>
      <c r="N14" s="6" t="s">
        <v>40</v>
      </c>
      <c r="O14" s="81">
        <v>575</v>
      </c>
      <c r="P14" s="4" t="s">
        <v>80</v>
      </c>
      <c r="Q14" s="19">
        <f t="shared" si="0"/>
        <v>1.0454545454545454E-2</v>
      </c>
      <c r="R14" s="85"/>
      <c r="S14" s="19"/>
      <c r="T14" s="7">
        <v>45302</v>
      </c>
      <c r="U14" s="4" t="s">
        <v>43</v>
      </c>
      <c r="V14" s="7">
        <v>45306</v>
      </c>
      <c r="W14" s="10" t="s">
        <v>45</v>
      </c>
      <c r="X14" s="82">
        <f>179375-71750</f>
        <v>107625</v>
      </c>
      <c r="Y14" s="83" t="s">
        <v>341</v>
      </c>
      <c r="Z14" s="83"/>
      <c r="AA14" s="84"/>
      <c r="AB14" s="85">
        <v>45306</v>
      </c>
      <c r="AC14" s="85">
        <v>45303</v>
      </c>
      <c r="AD14" s="3"/>
      <c r="AE14" s="7">
        <v>45310</v>
      </c>
    </row>
    <row r="15" spans="1:31" s="2" customFormat="1" ht="26.25" hidden="1" customHeight="1" x14ac:dyDescent="0.25">
      <c r="A15" s="86" t="s">
        <v>376</v>
      </c>
      <c r="B15" s="87">
        <v>24794</v>
      </c>
      <c r="C15" s="88">
        <v>20000</v>
      </c>
      <c r="D15" s="87">
        <v>10</v>
      </c>
      <c r="E15" s="89" t="s">
        <v>377</v>
      </c>
      <c r="F15" s="87"/>
      <c r="G15" s="87"/>
      <c r="H15" s="87" t="s">
        <v>60</v>
      </c>
      <c r="I15" s="90"/>
      <c r="J15" s="87" t="s">
        <v>62</v>
      </c>
      <c r="K15" s="87"/>
      <c r="L15" s="91">
        <v>45295</v>
      </c>
      <c r="M15" s="91"/>
      <c r="N15" s="87" t="s">
        <v>333</v>
      </c>
      <c r="O15" s="92">
        <v>0</v>
      </c>
      <c r="P15" s="87"/>
      <c r="Q15" s="93">
        <f t="shared" si="0"/>
        <v>0</v>
      </c>
      <c r="R15" s="91"/>
      <c r="S15" s="93"/>
      <c r="T15" s="91"/>
      <c r="U15" s="94" t="s">
        <v>66</v>
      </c>
      <c r="V15" s="91">
        <v>45307</v>
      </c>
      <c r="W15" s="90" t="s">
        <v>45</v>
      </c>
      <c r="X15" s="95">
        <v>36000</v>
      </c>
      <c r="Y15" s="90" t="s">
        <v>215</v>
      </c>
      <c r="Z15" s="90"/>
      <c r="AA15" s="78"/>
      <c r="AB15" s="78"/>
      <c r="AC15" s="71" t="s">
        <v>378</v>
      </c>
      <c r="AD15" s="96"/>
      <c r="AE15" s="7" t="s">
        <v>378</v>
      </c>
    </row>
    <row r="16" spans="1:31" s="2" customFormat="1" ht="26.25" hidden="1" customHeight="1" x14ac:dyDescent="0.25">
      <c r="A16" s="86" t="s">
        <v>379</v>
      </c>
      <c r="B16" s="87">
        <v>24411</v>
      </c>
      <c r="C16" s="88">
        <v>30000</v>
      </c>
      <c r="D16" s="87">
        <v>15</v>
      </c>
      <c r="E16" s="89" t="s">
        <v>380</v>
      </c>
      <c r="F16" s="87"/>
      <c r="G16" s="87"/>
      <c r="H16" s="90" t="s">
        <v>37</v>
      </c>
      <c r="I16" s="90" t="s">
        <v>381</v>
      </c>
      <c r="J16" s="90" t="s">
        <v>62</v>
      </c>
      <c r="K16" s="90"/>
      <c r="L16" s="91">
        <v>44936</v>
      </c>
      <c r="M16" s="91"/>
      <c r="N16" s="87" t="s">
        <v>333</v>
      </c>
      <c r="O16" s="92">
        <v>4800</v>
      </c>
      <c r="P16" s="87" t="s">
        <v>80</v>
      </c>
      <c r="Q16" s="93">
        <f t="shared" si="0"/>
        <v>0.16</v>
      </c>
      <c r="R16" s="91"/>
      <c r="S16" s="93"/>
      <c r="T16" s="91">
        <v>45306</v>
      </c>
      <c r="U16" s="94" t="s">
        <v>66</v>
      </c>
      <c r="V16" s="91">
        <v>45307</v>
      </c>
      <c r="W16" s="90" t="s">
        <v>45</v>
      </c>
      <c r="X16" s="95">
        <v>156000</v>
      </c>
      <c r="Y16" s="90" t="s">
        <v>215</v>
      </c>
      <c r="Z16" s="90"/>
      <c r="AA16" s="78"/>
      <c r="AB16" s="78"/>
      <c r="AC16" s="71">
        <v>45306</v>
      </c>
      <c r="AD16" s="96"/>
      <c r="AE16" s="7">
        <v>45307</v>
      </c>
    </row>
    <row r="17" spans="1:42" s="2" customFormat="1" ht="18" hidden="1" x14ac:dyDescent="0.25">
      <c r="A17" s="97" t="s">
        <v>382</v>
      </c>
      <c r="B17" s="98">
        <v>24684</v>
      </c>
      <c r="C17" s="99">
        <v>44000</v>
      </c>
      <c r="D17" s="100" t="s">
        <v>105</v>
      </c>
      <c r="E17" s="101" t="s">
        <v>383</v>
      </c>
      <c r="F17" s="100" t="s">
        <v>384</v>
      </c>
      <c r="G17" s="100" t="s">
        <v>369</v>
      </c>
      <c r="H17" s="100" t="s">
        <v>51</v>
      </c>
      <c r="I17" s="100"/>
      <c r="J17" s="100" t="s">
        <v>75</v>
      </c>
      <c r="K17" s="100"/>
      <c r="L17" s="102">
        <v>45267</v>
      </c>
      <c r="M17" s="103"/>
      <c r="N17" s="98" t="s">
        <v>40</v>
      </c>
      <c r="O17" s="104">
        <v>575</v>
      </c>
      <c r="P17" s="105" t="s">
        <v>80</v>
      </c>
      <c r="Q17" s="106">
        <f t="shared" si="0"/>
        <v>1.3068181818181817E-2</v>
      </c>
      <c r="R17" s="160">
        <v>45291</v>
      </c>
      <c r="S17" s="106" t="s">
        <v>65</v>
      </c>
      <c r="T17" s="102">
        <v>45305</v>
      </c>
      <c r="U17" s="100" t="s">
        <v>76</v>
      </c>
      <c r="V17" s="102">
        <v>45307</v>
      </c>
      <c r="W17" s="107" t="s">
        <v>385</v>
      </c>
      <c r="X17" s="62">
        <v>66300</v>
      </c>
      <c r="Y17" s="108" t="s">
        <v>341</v>
      </c>
      <c r="Z17" s="108"/>
      <c r="AA17" s="78"/>
      <c r="AB17" s="71">
        <v>45306</v>
      </c>
      <c r="AC17" s="71">
        <v>45304</v>
      </c>
      <c r="AD17" s="96"/>
      <c r="AE17" s="7">
        <v>45310</v>
      </c>
    </row>
    <row r="18" spans="1:42" s="2" customFormat="1" ht="18" hidden="1" x14ac:dyDescent="0.25">
      <c r="A18" s="80" t="s">
        <v>367</v>
      </c>
      <c r="B18" s="4">
        <v>24867</v>
      </c>
      <c r="C18" s="5">
        <v>27500</v>
      </c>
      <c r="D18" s="4" t="s">
        <v>48</v>
      </c>
      <c r="E18" s="4" t="s">
        <v>386</v>
      </c>
      <c r="F18" s="4" t="s">
        <v>387</v>
      </c>
      <c r="G18" s="4" t="s">
        <v>369</v>
      </c>
      <c r="H18" s="4" t="s">
        <v>109</v>
      </c>
      <c r="I18" s="4"/>
      <c r="J18" s="4" t="s">
        <v>75</v>
      </c>
      <c r="K18" s="4"/>
      <c r="L18" s="7">
        <v>45268</v>
      </c>
      <c r="M18" s="7"/>
      <c r="N18" s="6" t="s">
        <v>40</v>
      </c>
      <c r="O18" s="81"/>
      <c r="P18" s="4"/>
      <c r="Q18" s="19">
        <v>0.01</v>
      </c>
      <c r="R18" s="85">
        <v>45291</v>
      </c>
      <c r="S18" s="19" t="s">
        <v>65</v>
      </c>
      <c r="T18" s="7">
        <v>45305</v>
      </c>
      <c r="U18" s="4" t="s">
        <v>76</v>
      </c>
      <c r="V18" s="7">
        <v>45309</v>
      </c>
      <c r="W18" s="10" t="s">
        <v>45</v>
      </c>
      <c r="X18" s="82">
        <v>46875</v>
      </c>
      <c r="Y18" s="83" t="s">
        <v>341</v>
      </c>
      <c r="Z18" s="83"/>
      <c r="AA18" s="84"/>
      <c r="AB18" s="85">
        <v>45308</v>
      </c>
      <c r="AC18" s="85">
        <v>45304</v>
      </c>
      <c r="AD18" s="3"/>
      <c r="AE18" s="112">
        <v>45323</v>
      </c>
    </row>
    <row r="19" spans="1:42" s="2" customFormat="1" ht="18" hidden="1" x14ac:dyDescent="0.25">
      <c r="A19" s="80" t="s">
        <v>388</v>
      </c>
      <c r="B19" s="4">
        <v>24903</v>
      </c>
      <c r="C19" s="5">
        <v>11000</v>
      </c>
      <c r="D19" s="4" t="s">
        <v>48</v>
      </c>
      <c r="E19" s="4" t="s">
        <v>389</v>
      </c>
      <c r="F19" s="4" t="s">
        <v>387</v>
      </c>
      <c r="G19" s="4" t="s">
        <v>369</v>
      </c>
      <c r="H19" s="4" t="s">
        <v>109</v>
      </c>
      <c r="I19" s="4"/>
      <c r="J19" s="4" t="s">
        <v>75</v>
      </c>
      <c r="K19" s="4"/>
      <c r="L19" s="7">
        <v>45268</v>
      </c>
      <c r="M19" s="7"/>
      <c r="N19" s="6" t="s">
        <v>40</v>
      </c>
      <c r="O19" s="81">
        <v>575</v>
      </c>
      <c r="P19" s="4" t="s">
        <v>80</v>
      </c>
      <c r="Q19" s="19">
        <v>0.01</v>
      </c>
      <c r="R19" s="85">
        <v>45291</v>
      </c>
      <c r="S19" s="19" t="s">
        <v>65</v>
      </c>
      <c r="T19" s="7">
        <v>45305</v>
      </c>
      <c r="U19" s="4" t="s">
        <v>76</v>
      </c>
      <c r="V19" s="7">
        <v>45309</v>
      </c>
      <c r="W19" s="10" t="s">
        <v>45</v>
      </c>
      <c r="X19" s="82">
        <v>93500</v>
      </c>
      <c r="Y19" s="83" t="s">
        <v>341</v>
      </c>
      <c r="Z19" s="83"/>
      <c r="AA19" s="84"/>
      <c r="AB19" s="85">
        <v>45308</v>
      </c>
      <c r="AC19" s="85">
        <v>45304</v>
      </c>
      <c r="AD19" s="3"/>
      <c r="AE19" s="112">
        <v>45323</v>
      </c>
    </row>
    <row r="20" spans="1:42" s="2" customFormat="1" ht="18" hidden="1" x14ac:dyDescent="0.25">
      <c r="A20" s="80" t="s">
        <v>390</v>
      </c>
      <c r="B20" s="4">
        <v>24937</v>
      </c>
      <c r="C20" s="5">
        <v>16500</v>
      </c>
      <c r="D20" s="4" t="s">
        <v>48</v>
      </c>
      <c r="E20" s="4" t="s">
        <v>391</v>
      </c>
      <c r="F20" s="4" t="s">
        <v>387</v>
      </c>
      <c r="G20" s="4" t="s">
        <v>369</v>
      </c>
      <c r="H20" s="4" t="s">
        <v>109</v>
      </c>
      <c r="I20" s="4"/>
      <c r="J20" s="4" t="s">
        <v>75</v>
      </c>
      <c r="K20" s="4"/>
      <c r="L20" s="7">
        <v>45268</v>
      </c>
      <c r="M20" s="7"/>
      <c r="N20" s="6" t="s">
        <v>40</v>
      </c>
      <c r="O20" s="81"/>
      <c r="P20" s="4"/>
      <c r="Q20" s="19">
        <v>0.01</v>
      </c>
      <c r="R20" s="85">
        <v>45291</v>
      </c>
      <c r="S20" s="19" t="s">
        <v>65</v>
      </c>
      <c r="T20" s="7">
        <v>45305</v>
      </c>
      <c r="U20" s="4" t="s">
        <v>76</v>
      </c>
      <c r="V20" s="7">
        <v>45309</v>
      </c>
      <c r="W20" s="10" t="s">
        <v>45</v>
      </c>
      <c r="X20" s="82">
        <v>12150</v>
      </c>
      <c r="Y20" s="83" t="s">
        <v>341</v>
      </c>
      <c r="Z20" s="83"/>
      <c r="AA20" s="84"/>
      <c r="AB20" s="85">
        <v>45308</v>
      </c>
      <c r="AC20" s="85">
        <v>45304</v>
      </c>
      <c r="AD20" s="3"/>
      <c r="AE20" s="112">
        <v>45323</v>
      </c>
    </row>
    <row r="21" spans="1:42" s="2" customFormat="1" ht="26.25" hidden="1" customHeight="1" x14ac:dyDescent="0.25">
      <c r="A21" s="86" t="s">
        <v>392</v>
      </c>
      <c r="B21" s="87">
        <v>25328</v>
      </c>
      <c r="C21" s="88">
        <v>42000</v>
      </c>
      <c r="D21" s="87" t="s">
        <v>249</v>
      </c>
      <c r="E21" s="89" t="s">
        <v>393</v>
      </c>
      <c r="F21" s="87"/>
      <c r="G21" s="87"/>
      <c r="H21" s="90" t="s">
        <v>37</v>
      </c>
      <c r="I21" s="90" t="s">
        <v>394</v>
      </c>
      <c r="J21" s="90" t="s">
        <v>53</v>
      </c>
      <c r="K21" s="90"/>
      <c r="L21" s="91">
        <v>45308</v>
      </c>
      <c r="M21" s="91"/>
      <c r="N21" s="87" t="s">
        <v>333</v>
      </c>
      <c r="O21" s="92">
        <v>720</v>
      </c>
      <c r="P21" s="87" t="s">
        <v>80</v>
      </c>
      <c r="Q21" s="93">
        <f>+O21/C21</f>
        <v>1.7142857142857144E-2</v>
      </c>
      <c r="R21" s="91"/>
      <c r="S21" s="93"/>
      <c r="T21" s="91">
        <v>45308</v>
      </c>
      <c r="U21" s="94" t="s">
        <v>66</v>
      </c>
      <c r="V21" s="91">
        <v>45310</v>
      </c>
      <c r="W21" s="90" t="s">
        <v>358</v>
      </c>
      <c r="X21" s="95">
        <v>104292</v>
      </c>
      <c r="Y21" s="90" t="s">
        <v>215</v>
      </c>
      <c r="Z21" s="90"/>
      <c r="AA21" s="78"/>
      <c r="AB21" s="78"/>
      <c r="AC21" s="71" t="s">
        <v>378</v>
      </c>
      <c r="AD21" s="96"/>
      <c r="AE21" s="7">
        <v>45310</v>
      </c>
    </row>
    <row r="22" spans="1:42" s="2" customFormat="1" ht="26.25" hidden="1" customHeight="1" x14ac:dyDescent="0.25">
      <c r="A22" s="86" t="s">
        <v>259</v>
      </c>
      <c r="B22" s="87">
        <v>24549</v>
      </c>
      <c r="C22" s="88">
        <v>40500</v>
      </c>
      <c r="D22" s="87" t="s">
        <v>249</v>
      </c>
      <c r="E22" s="89" t="s">
        <v>260</v>
      </c>
      <c r="F22" s="87"/>
      <c r="G22" s="87"/>
      <c r="H22" s="90" t="s">
        <v>37</v>
      </c>
      <c r="I22" s="90" t="s">
        <v>261</v>
      </c>
      <c r="J22" s="90" t="s">
        <v>53</v>
      </c>
      <c r="K22" s="90"/>
      <c r="L22" s="91">
        <v>45313</v>
      </c>
      <c r="M22" s="91"/>
      <c r="N22" s="87" t="s">
        <v>45</v>
      </c>
      <c r="O22" s="92">
        <v>0</v>
      </c>
      <c r="P22" s="87"/>
      <c r="Q22" s="93">
        <v>0</v>
      </c>
      <c r="R22" s="91"/>
      <c r="S22" s="93"/>
      <c r="T22" s="91">
        <v>45310</v>
      </c>
      <c r="U22" s="94" t="s">
        <v>66</v>
      </c>
      <c r="V22" s="91">
        <v>45310</v>
      </c>
      <c r="W22" s="90" t="s">
        <v>45</v>
      </c>
      <c r="X22" s="95">
        <v>54800</v>
      </c>
      <c r="Y22" s="90" t="s">
        <v>215</v>
      </c>
      <c r="Z22" s="90"/>
      <c r="AA22" s="78"/>
      <c r="AB22" s="78"/>
      <c r="AC22" s="71" t="s">
        <v>378</v>
      </c>
      <c r="AD22" s="96" t="s">
        <v>395</v>
      </c>
      <c r="AE22" s="7" t="s">
        <v>378</v>
      </c>
    </row>
    <row r="23" spans="1:42" s="2" customFormat="1" ht="18" hidden="1" x14ac:dyDescent="0.25">
      <c r="A23" s="80" t="s">
        <v>396</v>
      </c>
      <c r="B23" s="4">
        <v>24850</v>
      </c>
      <c r="C23" s="5">
        <v>46200</v>
      </c>
      <c r="D23" s="4" t="s">
        <v>48</v>
      </c>
      <c r="E23" s="4" t="s">
        <v>397</v>
      </c>
      <c r="F23" s="4" t="s">
        <v>398</v>
      </c>
      <c r="G23" s="4" t="s">
        <v>108</v>
      </c>
      <c r="H23" s="4" t="s">
        <v>51</v>
      </c>
      <c r="I23" s="4"/>
      <c r="J23" s="4" t="s">
        <v>98</v>
      </c>
      <c r="K23" s="4"/>
      <c r="L23" s="7">
        <v>45257</v>
      </c>
      <c r="M23" s="7"/>
      <c r="N23" s="6" t="s">
        <v>40</v>
      </c>
      <c r="O23" s="81">
        <v>575</v>
      </c>
      <c r="P23" s="4" t="s">
        <v>80</v>
      </c>
      <c r="Q23" s="19">
        <f>+O23/C23</f>
        <v>1.2445887445887446E-2</v>
      </c>
      <c r="R23" s="85"/>
      <c r="S23" s="19"/>
      <c r="T23" s="7">
        <v>45306</v>
      </c>
      <c r="U23" s="4" t="s">
        <v>43</v>
      </c>
      <c r="V23" s="7">
        <v>45313</v>
      </c>
      <c r="W23" s="10" t="s">
        <v>45</v>
      </c>
      <c r="X23" s="82">
        <f>45150-9030</f>
        <v>36120</v>
      </c>
      <c r="Y23" s="83" t="s">
        <v>68</v>
      </c>
      <c r="Z23" s="83"/>
      <c r="AA23" s="84">
        <v>45310</v>
      </c>
      <c r="AB23" s="85">
        <v>45310</v>
      </c>
      <c r="AC23" s="85">
        <v>45307</v>
      </c>
      <c r="AD23" s="3"/>
      <c r="AE23" s="112">
        <v>45323</v>
      </c>
    </row>
    <row r="24" spans="1:42" s="2" customFormat="1" ht="26.25" hidden="1" customHeight="1" x14ac:dyDescent="0.25">
      <c r="A24" s="86" t="s">
        <v>399</v>
      </c>
      <c r="B24" s="87">
        <v>25140</v>
      </c>
      <c r="C24" s="88">
        <v>54000</v>
      </c>
      <c r="D24" s="87" t="s">
        <v>249</v>
      </c>
      <c r="E24" s="89" t="s">
        <v>400</v>
      </c>
      <c r="F24" s="87"/>
      <c r="G24" s="87"/>
      <c r="H24" s="87" t="s">
        <v>60</v>
      </c>
      <c r="I24" s="87"/>
      <c r="J24" s="87" t="s">
        <v>53</v>
      </c>
      <c r="K24" s="87"/>
      <c r="L24" s="91">
        <v>45309</v>
      </c>
      <c r="M24" s="91"/>
      <c r="N24" s="87"/>
      <c r="O24" s="92"/>
      <c r="P24" s="87"/>
      <c r="Q24" s="93">
        <v>0</v>
      </c>
      <c r="R24" s="91"/>
      <c r="S24" s="93"/>
      <c r="T24" s="91"/>
      <c r="U24" s="94" t="s">
        <v>66</v>
      </c>
      <c r="V24" s="91">
        <v>45315</v>
      </c>
      <c r="W24" s="90" t="s">
        <v>45</v>
      </c>
      <c r="X24" s="95">
        <v>31950</v>
      </c>
      <c r="Y24" s="90" t="s">
        <v>215</v>
      </c>
      <c r="Z24" s="90"/>
      <c r="AA24" s="78"/>
      <c r="AB24" s="78"/>
      <c r="AC24" s="71" t="s">
        <v>378</v>
      </c>
      <c r="AD24" s="96"/>
      <c r="AE24" s="7" t="s">
        <v>378</v>
      </c>
    </row>
    <row r="25" spans="1:42" ht="18" hidden="1" x14ac:dyDescent="0.25">
      <c r="A25" s="109" t="s">
        <v>251</v>
      </c>
      <c r="B25" s="87">
        <v>24175</v>
      </c>
      <c r="C25" s="88">
        <v>40500</v>
      </c>
      <c r="D25" s="87" t="s">
        <v>249</v>
      </c>
      <c r="E25" s="89" t="s">
        <v>401</v>
      </c>
      <c r="F25" s="87"/>
      <c r="G25" s="87"/>
      <c r="H25" s="90" t="s">
        <v>37</v>
      </c>
      <c r="I25" s="90" t="s">
        <v>402</v>
      </c>
      <c r="J25" s="90" t="s">
        <v>62</v>
      </c>
      <c r="K25" s="90"/>
      <c r="L25" s="25">
        <v>45310</v>
      </c>
      <c r="M25" s="91"/>
      <c r="N25" s="87" t="s">
        <v>403</v>
      </c>
      <c r="O25" s="110">
        <v>6200</v>
      </c>
      <c r="P25" s="87" t="s">
        <v>80</v>
      </c>
      <c r="Q25" s="93">
        <f>+O25/C25</f>
        <v>0.15308641975308643</v>
      </c>
      <c r="R25" s="91"/>
      <c r="S25" s="93"/>
      <c r="T25" s="91">
        <v>45317</v>
      </c>
      <c r="U25" s="94" t="s">
        <v>66</v>
      </c>
      <c r="V25" s="91">
        <v>45317</v>
      </c>
      <c r="W25" s="90" t="s">
        <v>45</v>
      </c>
      <c r="X25" s="111">
        <v>89700</v>
      </c>
      <c r="Y25" s="90" t="s">
        <v>215</v>
      </c>
      <c r="Z25" s="90"/>
      <c r="AA25" s="78"/>
      <c r="AB25" s="78"/>
      <c r="AC25" s="71">
        <v>45315</v>
      </c>
      <c r="AD25" s="79" t="s">
        <v>404</v>
      </c>
      <c r="AE25" s="112">
        <v>45317</v>
      </c>
    </row>
    <row r="26" spans="1:42" ht="18" hidden="1" x14ac:dyDescent="0.25">
      <c r="A26" s="109" t="s">
        <v>100</v>
      </c>
      <c r="B26" s="87">
        <v>24591</v>
      </c>
      <c r="C26" s="88">
        <v>6000</v>
      </c>
      <c r="D26" s="87">
        <v>3</v>
      </c>
      <c r="E26" s="89" t="s">
        <v>405</v>
      </c>
      <c r="F26" s="87"/>
      <c r="G26" s="87"/>
      <c r="H26" s="90" t="s">
        <v>37</v>
      </c>
      <c r="I26" s="90" t="s">
        <v>406</v>
      </c>
      <c r="J26" s="90" t="s">
        <v>62</v>
      </c>
      <c r="K26" s="90"/>
      <c r="L26" s="25">
        <v>45310</v>
      </c>
      <c r="M26" s="91"/>
      <c r="N26" s="87" t="s">
        <v>333</v>
      </c>
      <c r="O26" s="110">
        <v>1125</v>
      </c>
      <c r="P26" s="87" t="s">
        <v>80</v>
      </c>
      <c r="Q26" s="93">
        <f>+O26/C26</f>
        <v>0.1875</v>
      </c>
      <c r="R26" s="91"/>
      <c r="S26" s="93"/>
      <c r="T26" s="91">
        <v>45320</v>
      </c>
      <c r="U26" s="94" t="s">
        <v>66</v>
      </c>
      <c r="V26" s="91">
        <v>45320</v>
      </c>
      <c r="W26" s="90" t="s">
        <v>45</v>
      </c>
      <c r="X26" s="111">
        <v>10860</v>
      </c>
      <c r="Y26" s="90" t="s">
        <v>215</v>
      </c>
      <c r="Z26" s="90"/>
      <c r="AA26" s="78"/>
      <c r="AB26" s="78"/>
      <c r="AC26" s="71">
        <v>45312</v>
      </c>
      <c r="AD26" s="79"/>
      <c r="AE26" s="112">
        <v>45321</v>
      </c>
    </row>
    <row r="27" spans="1:42" ht="18" hidden="1" x14ac:dyDescent="0.25">
      <c r="A27" s="21" t="s">
        <v>100</v>
      </c>
      <c r="B27" s="87">
        <v>25060</v>
      </c>
      <c r="C27" s="88">
        <v>10000</v>
      </c>
      <c r="D27" s="87">
        <v>5</v>
      </c>
      <c r="E27" s="89" t="s">
        <v>407</v>
      </c>
      <c r="F27" s="87"/>
      <c r="G27" s="87"/>
      <c r="H27" s="90" t="s">
        <v>37</v>
      </c>
      <c r="I27" s="90" t="s">
        <v>406</v>
      </c>
      <c r="J27" s="90" t="s">
        <v>62</v>
      </c>
      <c r="K27" s="90"/>
      <c r="L27" s="25">
        <v>45310</v>
      </c>
      <c r="M27" s="91"/>
      <c r="N27" s="87" t="s">
        <v>333</v>
      </c>
      <c r="O27" s="110">
        <v>1875</v>
      </c>
      <c r="P27" s="87" t="s">
        <v>80</v>
      </c>
      <c r="Q27" s="93">
        <f>+O27/C27</f>
        <v>0.1875</v>
      </c>
      <c r="R27" s="91"/>
      <c r="S27" s="93"/>
      <c r="T27" s="91">
        <v>45320</v>
      </c>
      <c r="U27" s="94" t="s">
        <v>66</v>
      </c>
      <c r="V27" s="91">
        <v>45320</v>
      </c>
      <c r="W27" s="90" t="s">
        <v>45</v>
      </c>
      <c r="X27" s="111">
        <v>16300</v>
      </c>
      <c r="Y27" s="90" t="s">
        <v>215</v>
      </c>
      <c r="Z27" s="90"/>
      <c r="AA27" s="78"/>
      <c r="AB27" s="78"/>
      <c r="AC27" s="71">
        <v>45312</v>
      </c>
      <c r="AD27" s="79"/>
      <c r="AE27" s="112">
        <v>45321</v>
      </c>
    </row>
    <row r="28" spans="1:42" ht="18" hidden="1" x14ac:dyDescent="0.25">
      <c r="A28" s="21" t="s">
        <v>362</v>
      </c>
      <c r="B28" s="87">
        <v>25254</v>
      </c>
      <c r="C28" s="88">
        <v>28000</v>
      </c>
      <c r="D28" s="87">
        <v>14</v>
      </c>
      <c r="E28" s="89" t="s">
        <v>408</v>
      </c>
      <c r="F28" s="87"/>
      <c r="G28" s="87"/>
      <c r="H28" s="90" t="s">
        <v>37</v>
      </c>
      <c r="I28" s="90" t="s">
        <v>402</v>
      </c>
      <c r="J28" s="90" t="s">
        <v>62</v>
      </c>
      <c r="K28" s="90"/>
      <c r="L28" s="25">
        <v>45346</v>
      </c>
      <c r="M28" s="91"/>
      <c r="N28" s="87"/>
      <c r="O28" s="110"/>
      <c r="P28" s="87"/>
      <c r="Q28" s="93">
        <f>+O28/C28</f>
        <v>0</v>
      </c>
      <c r="R28" s="91"/>
      <c r="S28" s="93"/>
      <c r="T28" s="91">
        <v>45320</v>
      </c>
      <c r="U28" s="94" t="s">
        <v>66</v>
      </c>
      <c r="V28" s="91">
        <v>45320</v>
      </c>
      <c r="W28" s="90" t="s">
        <v>45</v>
      </c>
      <c r="X28" s="111">
        <v>77400</v>
      </c>
      <c r="Y28" s="90" t="s">
        <v>215</v>
      </c>
      <c r="Z28" s="90"/>
      <c r="AA28" s="78"/>
      <c r="AB28" s="78"/>
      <c r="AC28" s="71">
        <v>45317</v>
      </c>
      <c r="AD28" s="79"/>
      <c r="AE28" s="112">
        <v>45320</v>
      </c>
    </row>
    <row r="29" spans="1:42" ht="18" hidden="1" x14ac:dyDescent="0.25">
      <c r="A29" s="113" t="s">
        <v>409</v>
      </c>
      <c r="B29" s="67">
        <v>24426</v>
      </c>
      <c r="C29" s="68">
        <v>55000</v>
      </c>
      <c r="D29" s="67" t="s">
        <v>48</v>
      </c>
      <c r="E29" s="69" t="s">
        <v>410</v>
      </c>
      <c r="F29" s="67" t="s">
        <v>411</v>
      </c>
      <c r="G29" s="67" t="s">
        <v>36</v>
      </c>
      <c r="H29" s="70" t="s">
        <v>37</v>
      </c>
      <c r="I29" s="70" t="s">
        <v>412</v>
      </c>
      <c r="J29" s="70" t="s">
        <v>413</v>
      </c>
      <c r="K29" s="70"/>
      <c r="L29" s="71">
        <v>45248</v>
      </c>
      <c r="M29" s="70" t="s">
        <v>414</v>
      </c>
      <c r="N29" s="67" t="s">
        <v>40</v>
      </c>
      <c r="O29" s="74">
        <f>4965+400</f>
        <v>5365</v>
      </c>
      <c r="P29" s="67" t="s">
        <v>41</v>
      </c>
      <c r="Q29" s="75">
        <f>+O29/C29</f>
        <v>9.7545454545454546E-2</v>
      </c>
      <c r="R29" s="7">
        <v>45298</v>
      </c>
      <c r="S29" s="75" t="s">
        <v>65</v>
      </c>
      <c r="T29" s="7">
        <v>45319</v>
      </c>
      <c r="U29" s="67" t="s">
        <v>76</v>
      </c>
      <c r="V29" s="71">
        <v>45321</v>
      </c>
      <c r="W29" s="76" t="s">
        <v>45</v>
      </c>
      <c r="X29" s="114">
        <v>38880</v>
      </c>
      <c r="Y29" s="70" t="s">
        <v>68</v>
      </c>
      <c r="Z29" s="70"/>
      <c r="AA29" s="71">
        <v>45310</v>
      </c>
      <c r="AB29" s="71">
        <v>45310</v>
      </c>
      <c r="AC29" s="71">
        <v>45319</v>
      </c>
      <c r="AD29" s="79"/>
      <c r="AE29" s="112">
        <v>45322</v>
      </c>
    </row>
    <row r="30" spans="1:42" ht="18" hidden="1" x14ac:dyDescent="0.25">
      <c r="A30" s="66" t="s">
        <v>415</v>
      </c>
      <c r="B30" s="69">
        <v>24281</v>
      </c>
      <c r="C30" s="68">
        <v>8640</v>
      </c>
      <c r="D30" s="67">
        <v>3</v>
      </c>
      <c r="E30" s="69" t="s">
        <v>416</v>
      </c>
      <c r="F30" s="67" t="s">
        <v>417</v>
      </c>
      <c r="G30" s="67" t="s">
        <v>418</v>
      </c>
      <c r="H30" s="67" t="s">
        <v>51</v>
      </c>
      <c r="I30" s="67" t="s">
        <v>419</v>
      </c>
      <c r="J30" s="67" t="s">
        <v>420</v>
      </c>
      <c r="K30" s="67"/>
      <c r="L30" s="71">
        <v>45240</v>
      </c>
      <c r="M30" s="70"/>
      <c r="N30" s="67"/>
      <c r="O30" s="74"/>
      <c r="P30" s="67"/>
      <c r="Q30" s="75"/>
      <c r="R30" s="71"/>
      <c r="S30" s="75"/>
      <c r="T30" s="7">
        <v>45308</v>
      </c>
      <c r="U30" s="67" t="s">
        <v>43</v>
      </c>
      <c r="V30" s="71">
        <v>45323</v>
      </c>
      <c r="W30" s="10" t="s">
        <v>45</v>
      </c>
      <c r="X30" s="114">
        <v>19769</v>
      </c>
      <c r="Y30" s="70" t="s">
        <v>341</v>
      </c>
      <c r="Z30" s="70"/>
      <c r="AA30" s="71">
        <v>45279</v>
      </c>
      <c r="AB30" s="71">
        <v>45322</v>
      </c>
      <c r="AC30" s="71">
        <v>45315</v>
      </c>
      <c r="AD30" s="79"/>
      <c r="AE30" s="112" t="s">
        <v>378</v>
      </c>
    </row>
    <row r="31" spans="1:42" ht="18" hidden="1" x14ac:dyDescent="0.25">
      <c r="A31" s="21" t="s">
        <v>251</v>
      </c>
      <c r="B31" s="87">
        <v>24176</v>
      </c>
      <c r="C31" s="88">
        <v>40500</v>
      </c>
      <c r="D31" s="87" t="s">
        <v>249</v>
      </c>
      <c r="E31" s="89" t="s">
        <v>421</v>
      </c>
      <c r="F31" s="87"/>
      <c r="G31" s="87"/>
      <c r="H31" s="90" t="s">
        <v>37</v>
      </c>
      <c r="I31" s="90" t="s">
        <v>402</v>
      </c>
      <c r="J31" s="90" t="s">
        <v>62</v>
      </c>
      <c r="K31" s="90"/>
      <c r="L31" s="25">
        <v>45309</v>
      </c>
      <c r="M31" s="91"/>
      <c r="N31" s="87" t="s">
        <v>333</v>
      </c>
      <c r="O31" s="110">
        <v>6200</v>
      </c>
      <c r="P31" s="87" t="s">
        <v>80</v>
      </c>
      <c r="Q31" s="93">
        <f>+O31/C31</f>
        <v>0.15308641975308643</v>
      </c>
      <c r="R31" s="91"/>
      <c r="S31" s="93"/>
      <c r="T31" s="91">
        <v>45320</v>
      </c>
      <c r="U31" s="94" t="s">
        <v>66</v>
      </c>
      <c r="V31" s="91">
        <v>45323</v>
      </c>
      <c r="W31" s="90" t="s">
        <v>45</v>
      </c>
      <c r="X31" s="111">
        <v>85050</v>
      </c>
      <c r="Y31" s="90" t="s">
        <v>215</v>
      </c>
      <c r="Z31" s="90"/>
      <c r="AA31" s="78"/>
      <c r="AB31" s="78"/>
      <c r="AC31" s="71">
        <v>45318</v>
      </c>
      <c r="AD31" s="79" t="s">
        <v>422</v>
      </c>
      <c r="AE31" s="112">
        <v>45323</v>
      </c>
    </row>
    <row r="32" spans="1:42" s="30" customFormat="1" ht="18" hidden="1" x14ac:dyDescent="0.25">
      <c r="A32" s="21" t="s">
        <v>270</v>
      </c>
      <c r="B32" s="22">
        <v>25125</v>
      </c>
      <c r="C32" s="23">
        <v>10000</v>
      </c>
      <c r="D32" s="52">
        <v>5</v>
      </c>
      <c r="E32" s="22" t="s">
        <v>271</v>
      </c>
      <c r="F32" s="22"/>
      <c r="G32" s="22"/>
      <c r="H32" s="55" t="s">
        <v>37</v>
      </c>
      <c r="I32" s="55" t="s">
        <v>423</v>
      </c>
      <c r="J32" s="55" t="s">
        <v>53</v>
      </c>
      <c r="K32" s="55"/>
      <c r="L32" s="56">
        <v>45317</v>
      </c>
      <c r="M32" s="25"/>
      <c r="N32" s="22" t="s">
        <v>333</v>
      </c>
      <c r="O32" s="26">
        <v>1450</v>
      </c>
      <c r="P32" s="22" t="s">
        <v>80</v>
      </c>
      <c r="Q32" s="93">
        <f>+O32/C32</f>
        <v>0.14499999999999999</v>
      </c>
      <c r="R32" s="24"/>
      <c r="S32" s="28" t="s">
        <v>66</v>
      </c>
      <c r="T32" s="91">
        <v>45320</v>
      </c>
      <c r="U32" s="94" t="s">
        <v>66</v>
      </c>
      <c r="V32" s="91">
        <v>45323</v>
      </c>
      <c r="W32" s="24" t="s">
        <v>45</v>
      </c>
      <c r="X32" s="111">
        <v>7800</v>
      </c>
      <c r="Y32" s="90" t="s">
        <v>215</v>
      </c>
      <c r="Z32" s="90"/>
      <c r="AA32" s="78"/>
      <c r="AB32" s="78"/>
      <c r="AC32" s="78"/>
      <c r="AD32" s="96"/>
      <c r="AE32" s="112">
        <v>45323</v>
      </c>
      <c r="AF32" s="15"/>
      <c r="AG32" s="15"/>
      <c r="AH32" s="15"/>
      <c r="AI32" s="15"/>
      <c r="AJ32" s="15"/>
      <c r="AK32" s="15"/>
      <c r="AL32" s="15"/>
      <c r="AM32" s="15"/>
      <c r="AN32" s="15"/>
      <c r="AO32" s="15"/>
      <c r="AP32" s="15"/>
    </row>
    <row r="33" spans="1:46" ht="18" hidden="1" customHeight="1" x14ac:dyDescent="0.25">
      <c r="A33" s="115" t="s">
        <v>424</v>
      </c>
      <c r="B33" s="6">
        <v>24703</v>
      </c>
      <c r="C33" s="5">
        <v>40260</v>
      </c>
      <c r="D33" s="6" t="s">
        <v>105</v>
      </c>
      <c r="E33" s="116" t="s">
        <v>425</v>
      </c>
      <c r="F33" s="67" t="s">
        <v>426</v>
      </c>
      <c r="G33" s="67" t="s">
        <v>108</v>
      </c>
      <c r="H33" s="6" t="s">
        <v>51</v>
      </c>
      <c r="I33" s="6"/>
      <c r="J33" s="6" t="s">
        <v>171</v>
      </c>
      <c r="K33" s="6"/>
      <c r="L33" s="7">
        <v>45287</v>
      </c>
      <c r="M33" s="11"/>
      <c r="N33" s="6" t="s">
        <v>40</v>
      </c>
      <c r="O33" s="13">
        <v>575</v>
      </c>
      <c r="P33" s="6" t="s">
        <v>80</v>
      </c>
      <c r="Q33" s="41">
        <f>+O33/C33</f>
        <v>1.4282165921510184E-2</v>
      </c>
      <c r="R33" s="7"/>
      <c r="S33" s="41"/>
      <c r="T33" s="7">
        <v>45321</v>
      </c>
      <c r="U33" s="67" t="s">
        <v>43</v>
      </c>
      <c r="V33" s="71">
        <v>45324</v>
      </c>
      <c r="W33" s="10" t="s">
        <v>45</v>
      </c>
      <c r="X33" s="114">
        <v>17843</v>
      </c>
      <c r="Y33" s="11" t="s">
        <v>341</v>
      </c>
      <c r="Z33" s="11"/>
      <c r="AA33" s="63"/>
      <c r="AB33" s="7">
        <v>45323</v>
      </c>
      <c r="AC33" s="7">
        <v>45322</v>
      </c>
      <c r="AD33" s="96"/>
      <c r="AE33" s="112">
        <v>45342</v>
      </c>
    </row>
    <row r="34" spans="1:46" s="30" customFormat="1" ht="18" hidden="1" customHeight="1" x14ac:dyDescent="0.25">
      <c r="A34" s="21" t="s">
        <v>427</v>
      </c>
      <c r="B34" s="22">
        <v>25423</v>
      </c>
      <c r="C34" s="23">
        <v>21570</v>
      </c>
      <c r="D34" s="52" t="s">
        <v>264</v>
      </c>
      <c r="E34" s="22" t="s">
        <v>428</v>
      </c>
      <c r="F34" s="22"/>
      <c r="G34" s="22"/>
      <c r="H34" s="52" t="s">
        <v>60</v>
      </c>
      <c r="I34" s="55"/>
      <c r="J34" s="52" t="s">
        <v>62</v>
      </c>
      <c r="K34" s="52"/>
      <c r="L34" s="56"/>
      <c r="M34" s="25"/>
      <c r="N34" s="22"/>
      <c r="O34" s="26"/>
      <c r="P34" s="22"/>
      <c r="Q34" s="93"/>
      <c r="R34" s="24"/>
      <c r="S34" s="28" t="s">
        <v>66</v>
      </c>
      <c r="T34" s="91">
        <v>45324</v>
      </c>
      <c r="U34" s="94" t="s">
        <v>66</v>
      </c>
      <c r="V34" s="91">
        <v>45324</v>
      </c>
      <c r="W34" s="24" t="s">
        <v>45</v>
      </c>
      <c r="X34" s="111">
        <v>124027</v>
      </c>
      <c r="Y34" s="90" t="s">
        <v>215</v>
      </c>
      <c r="Z34" s="90"/>
      <c r="AA34" s="78"/>
      <c r="AB34" s="78"/>
      <c r="AC34" s="71">
        <v>45321</v>
      </c>
      <c r="AD34" s="96"/>
      <c r="AE34" s="112" t="s">
        <v>378</v>
      </c>
      <c r="AF34" s="15"/>
      <c r="AG34" s="15"/>
      <c r="AH34" s="15"/>
      <c r="AI34" s="15"/>
      <c r="AJ34" s="15"/>
      <c r="AK34" s="15"/>
      <c r="AL34" s="15"/>
      <c r="AM34" s="15"/>
      <c r="AN34" s="15"/>
      <c r="AO34" s="15"/>
      <c r="AP34" s="15"/>
      <c r="AQ34" s="15"/>
      <c r="AR34" s="15"/>
    </row>
    <row r="35" spans="1:46" ht="18" hidden="1" customHeight="1" x14ac:dyDescent="0.25">
      <c r="A35" s="21" t="s">
        <v>259</v>
      </c>
      <c r="B35" s="87">
        <v>24550</v>
      </c>
      <c r="C35" s="88">
        <v>40500</v>
      </c>
      <c r="D35" s="87" t="s">
        <v>249</v>
      </c>
      <c r="E35" s="89" t="s">
        <v>260</v>
      </c>
      <c r="F35" s="87"/>
      <c r="G35" s="87"/>
      <c r="H35" s="90" t="s">
        <v>37</v>
      </c>
      <c r="I35" s="90" t="s">
        <v>261</v>
      </c>
      <c r="J35" s="90" t="s">
        <v>53</v>
      </c>
      <c r="K35" s="90"/>
      <c r="L35" s="25">
        <v>45324</v>
      </c>
      <c r="M35" s="91"/>
      <c r="N35" s="87"/>
      <c r="O35" s="110"/>
      <c r="P35" s="87"/>
      <c r="Q35" s="93"/>
      <c r="R35" s="91"/>
      <c r="S35" s="93"/>
      <c r="T35" s="91">
        <v>45324</v>
      </c>
      <c r="U35" s="94" t="s">
        <v>66</v>
      </c>
      <c r="V35" s="91">
        <v>45324</v>
      </c>
      <c r="W35" s="90" t="s">
        <v>45</v>
      </c>
      <c r="X35" s="111">
        <v>55485</v>
      </c>
      <c r="Y35" s="90" t="s">
        <v>215</v>
      </c>
      <c r="Z35" s="90"/>
      <c r="AA35" s="78"/>
      <c r="AB35" s="78"/>
      <c r="AC35" s="78"/>
      <c r="AD35" s="79" t="s">
        <v>429</v>
      </c>
      <c r="AE35" s="112" t="s">
        <v>378</v>
      </c>
    </row>
    <row r="36" spans="1:46" ht="18" hidden="1" customHeight="1" x14ac:dyDescent="0.25">
      <c r="A36" s="120" t="s">
        <v>390</v>
      </c>
      <c r="B36" s="6">
        <v>24938</v>
      </c>
      <c r="C36" s="5">
        <v>47300</v>
      </c>
      <c r="D36" s="6" t="s">
        <v>48</v>
      </c>
      <c r="E36" s="116" t="s">
        <v>208</v>
      </c>
      <c r="F36" s="67" t="s">
        <v>430</v>
      </c>
      <c r="G36" s="67" t="s">
        <v>130</v>
      </c>
      <c r="H36" s="6" t="s">
        <v>109</v>
      </c>
      <c r="I36" s="6"/>
      <c r="J36" s="6" t="s">
        <v>75</v>
      </c>
      <c r="K36" s="6"/>
      <c r="L36" s="71">
        <v>45271</v>
      </c>
      <c r="M36" s="11"/>
      <c r="N36" s="73" t="s">
        <v>40</v>
      </c>
      <c r="O36" s="118">
        <v>575</v>
      </c>
      <c r="P36" s="73" t="s">
        <v>80</v>
      </c>
      <c r="Q36" s="119">
        <f>+O36/C36</f>
        <v>1.2156448202959831E-2</v>
      </c>
      <c r="R36" s="7">
        <v>45311</v>
      </c>
      <c r="S36" s="75" t="s">
        <v>65</v>
      </c>
      <c r="T36" s="7">
        <v>45323</v>
      </c>
      <c r="U36" s="6" t="s">
        <v>178</v>
      </c>
      <c r="V36" s="71">
        <v>45324</v>
      </c>
      <c r="W36" s="10" t="s">
        <v>45</v>
      </c>
      <c r="X36" s="114">
        <v>41710</v>
      </c>
      <c r="Y36" s="11" t="s">
        <v>341</v>
      </c>
      <c r="Z36" s="11"/>
      <c r="AA36" s="63"/>
      <c r="AB36" s="7">
        <v>45321</v>
      </c>
      <c r="AC36" s="7">
        <v>45323</v>
      </c>
      <c r="AD36" s="79"/>
      <c r="AE36" s="112">
        <v>45342</v>
      </c>
    </row>
    <row r="37" spans="1:46" s="30" customFormat="1" ht="18" hidden="1" customHeight="1" x14ac:dyDescent="0.25">
      <c r="A37" s="21" t="s">
        <v>313</v>
      </c>
      <c r="B37" s="22">
        <v>25386</v>
      </c>
      <c r="C37" s="23">
        <v>40715</v>
      </c>
      <c r="D37" s="22" t="s">
        <v>249</v>
      </c>
      <c r="E37" s="22" t="s">
        <v>431</v>
      </c>
      <c r="F37" s="22"/>
      <c r="G37" s="22"/>
      <c r="H37" s="24" t="s">
        <v>37</v>
      </c>
      <c r="I37" s="24" t="s">
        <v>285</v>
      </c>
      <c r="J37" s="24" t="s">
        <v>62</v>
      </c>
      <c r="K37" s="24"/>
      <c r="L37" s="25">
        <v>45323</v>
      </c>
      <c r="M37" s="25"/>
      <c r="N37" s="22" t="s">
        <v>357</v>
      </c>
      <c r="O37" s="26">
        <v>2895</v>
      </c>
      <c r="P37" s="22" t="s">
        <v>80</v>
      </c>
      <c r="Q37" s="27"/>
      <c r="R37" s="27"/>
      <c r="S37" s="27"/>
      <c r="T37" s="91">
        <v>45328</v>
      </c>
      <c r="U37" s="28" t="s">
        <v>66</v>
      </c>
      <c r="V37" s="91">
        <v>45328</v>
      </c>
      <c r="W37" s="24" t="s">
        <v>45</v>
      </c>
      <c r="X37" s="29">
        <v>34608</v>
      </c>
      <c r="Y37" s="24" t="s">
        <v>215</v>
      </c>
      <c r="Z37" s="24"/>
      <c r="AA37" s="63"/>
      <c r="AB37" s="63"/>
      <c r="AC37" s="7"/>
      <c r="AD37" s="6"/>
      <c r="AE37" s="112">
        <v>45328</v>
      </c>
      <c r="AF37" s="15"/>
      <c r="AG37" s="15"/>
      <c r="AH37" s="15"/>
      <c r="AI37" s="15"/>
      <c r="AJ37" s="15"/>
      <c r="AK37" s="15"/>
      <c r="AL37" s="15"/>
      <c r="AM37" s="15"/>
      <c r="AN37" s="15"/>
      <c r="AO37" s="15"/>
      <c r="AP37" s="15"/>
      <c r="AQ37" s="15"/>
      <c r="AR37" s="15"/>
      <c r="AS37" s="15"/>
      <c r="AT37" s="15"/>
    </row>
    <row r="38" spans="1:46" ht="18" hidden="1" customHeight="1" x14ac:dyDescent="0.25">
      <c r="A38" s="21" t="s">
        <v>267</v>
      </c>
      <c r="B38" s="87">
        <v>24971</v>
      </c>
      <c r="C38" s="88">
        <v>40000</v>
      </c>
      <c r="D38" s="87" t="s">
        <v>249</v>
      </c>
      <c r="E38" s="89" t="s">
        <v>432</v>
      </c>
      <c r="F38" s="87" t="s">
        <v>433</v>
      </c>
      <c r="G38" s="87"/>
      <c r="H38" s="90" t="s">
        <v>37</v>
      </c>
      <c r="I38" s="90" t="s">
        <v>356</v>
      </c>
      <c r="J38" s="90" t="s">
        <v>62</v>
      </c>
      <c r="K38" s="90"/>
      <c r="L38" s="91">
        <v>45323</v>
      </c>
      <c r="M38" s="91"/>
      <c r="N38" s="22" t="s">
        <v>434</v>
      </c>
      <c r="O38" s="26">
        <f>3700*1.2325</f>
        <v>4560.25</v>
      </c>
      <c r="P38" s="22" t="s">
        <v>41</v>
      </c>
      <c r="Q38" s="27">
        <f t="shared" ref="Q38:Q68" si="1">+O38/C38</f>
        <v>0.11400625</v>
      </c>
      <c r="R38" s="91"/>
      <c r="S38" s="93"/>
      <c r="T38" s="91"/>
      <c r="U38" s="94" t="s">
        <v>66</v>
      </c>
      <c r="V38" s="91">
        <v>45334</v>
      </c>
      <c r="W38" s="90" t="s">
        <v>334</v>
      </c>
      <c r="X38" s="111">
        <v>80000</v>
      </c>
      <c r="Y38" s="90" t="s">
        <v>215</v>
      </c>
      <c r="Z38" s="90"/>
      <c r="AA38" s="78"/>
      <c r="AB38" s="78"/>
      <c r="AC38" s="7">
        <v>45332</v>
      </c>
      <c r="AD38" s="79"/>
      <c r="AE38" s="112">
        <v>45335</v>
      </c>
    </row>
    <row r="39" spans="1:46" ht="18" hidden="1" x14ac:dyDescent="0.25">
      <c r="A39" s="109" t="s">
        <v>435</v>
      </c>
      <c r="B39" s="87">
        <v>25361</v>
      </c>
      <c r="C39" s="88">
        <v>13635</v>
      </c>
      <c r="D39" s="87" t="s">
        <v>264</v>
      </c>
      <c r="E39" s="89" t="s">
        <v>436</v>
      </c>
      <c r="F39" s="87"/>
      <c r="G39" s="87"/>
      <c r="H39" s="90" t="s">
        <v>37</v>
      </c>
      <c r="I39" s="90" t="s">
        <v>437</v>
      </c>
      <c r="J39" s="90" t="s">
        <v>62</v>
      </c>
      <c r="K39" s="90"/>
      <c r="L39" s="25">
        <v>45331</v>
      </c>
      <c r="M39" s="91"/>
      <c r="N39" s="22" t="s">
        <v>333</v>
      </c>
      <c r="O39" s="110">
        <v>1300</v>
      </c>
      <c r="P39" s="87" t="s">
        <v>80</v>
      </c>
      <c r="Q39" s="27">
        <f t="shared" si="1"/>
        <v>9.5342867620095348E-2</v>
      </c>
      <c r="R39" s="91"/>
      <c r="S39" s="93"/>
      <c r="T39" s="91"/>
      <c r="U39" s="94" t="s">
        <v>66</v>
      </c>
      <c r="V39" s="91">
        <v>45334</v>
      </c>
      <c r="W39" s="90" t="s">
        <v>45</v>
      </c>
      <c r="X39" s="111">
        <v>24808</v>
      </c>
      <c r="Y39" s="90" t="s">
        <v>215</v>
      </c>
      <c r="Z39" s="90"/>
      <c r="AA39" s="78"/>
      <c r="AB39" s="78"/>
      <c r="AC39" s="7">
        <v>45332</v>
      </c>
      <c r="AD39" s="79"/>
      <c r="AE39" s="112">
        <v>45334</v>
      </c>
    </row>
    <row r="40" spans="1:46" s="30" customFormat="1" ht="18" hidden="1" customHeight="1" x14ac:dyDescent="0.25">
      <c r="A40" s="21" t="s">
        <v>438</v>
      </c>
      <c r="B40" s="22">
        <v>25321</v>
      </c>
      <c r="C40" s="23">
        <v>40000</v>
      </c>
      <c r="D40" s="22" t="s">
        <v>249</v>
      </c>
      <c r="E40" s="22" t="s">
        <v>439</v>
      </c>
      <c r="F40" s="22"/>
      <c r="G40" s="22"/>
      <c r="H40" s="24" t="s">
        <v>37</v>
      </c>
      <c r="I40" s="24" t="s">
        <v>440</v>
      </c>
      <c r="J40" s="24" t="s">
        <v>62</v>
      </c>
      <c r="K40" s="24"/>
      <c r="L40" s="91">
        <v>45327</v>
      </c>
      <c r="M40" s="25"/>
      <c r="N40" s="22" t="s">
        <v>441</v>
      </c>
      <c r="O40" s="26">
        <v>6500</v>
      </c>
      <c r="P40" s="22" t="s">
        <v>80</v>
      </c>
      <c r="Q40" s="27">
        <f t="shared" si="1"/>
        <v>0.16250000000000001</v>
      </c>
      <c r="R40" s="27"/>
      <c r="S40" s="27"/>
      <c r="T40" s="24"/>
      <c r="U40" s="28" t="s">
        <v>66</v>
      </c>
      <c r="V40" s="91">
        <v>45334</v>
      </c>
      <c r="W40" s="24" t="s">
        <v>45</v>
      </c>
      <c r="X40" s="29">
        <v>64000</v>
      </c>
      <c r="Y40" s="24" t="s">
        <v>215</v>
      </c>
      <c r="Z40" s="24"/>
      <c r="AA40" s="78"/>
      <c r="AB40" s="78"/>
      <c r="AC40" s="7">
        <v>45331</v>
      </c>
      <c r="AD40" s="38"/>
      <c r="AE40" s="112">
        <v>45334</v>
      </c>
      <c r="AF40" s="15"/>
      <c r="AG40" s="15"/>
      <c r="AH40" s="15"/>
      <c r="AI40" s="15"/>
      <c r="AJ40" s="15"/>
      <c r="AK40" s="15"/>
      <c r="AL40" s="15"/>
      <c r="AM40" s="15"/>
      <c r="AN40" s="15"/>
      <c r="AO40" s="15"/>
      <c r="AP40" s="15"/>
      <c r="AQ40" s="15"/>
      <c r="AR40" s="15"/>
      <c r="AS40" s="15"/>
    </row>
    <row r="41" spans="1:46" ht="18" hidden="1" customHeight="1" x14ac:dyDescent="0.25">
      <c r="A41" s="115" t="s">
        <v>351</v>
      </c>
      <c r="B41" s="73">
        <v>24095</v>
      </c>
      <c r="C41" s="68">
        <v>44000</v>
      </c>
      <c r="D41" s="67" t="s">
        <v>48</v>
      </c>
      <c r="E41" s="117" t="s">
        <v>442</v>
      </c>
      <c r="F41" s="67" t="s">
        <v>443</v>
      </c>
      <c r="G41" s="67" t="s">
        <v>108</v>
      </c>
      <c r="H41" s="67" t="s">
        <v>51</v>
      </c>
      <c r="I41" s="67"/>
      <c r="J41" s="67" t="s">
        <v>38</v>
      </c>
      <c r="K41" s="67"/>
      <c r="L41" s="71">
        <v>45282</v>
      </c>
      <c r="M41" s="72"/>
      <c r="N41" s="6" t="s">
        <v>40</v>
      </c>
      <c r="O41" s="118">
        <v>575</v>
      </c>
      <c r="P41" s="73" t="s">
        <v>80</v>
      </c>
      <c r="Q41" s="119">
        <f t="shared" si="1"/>
        <v>1.3068181818181817E-2</v>
      </c>
      <c r="R41" s="7">
        <v>45324</v>
      </c>
      <c r="S41" s="119" t="s">
        <v>121</v>
      </c>
      <c r="T41" s="7">
        <v>45331</v>
      </c>
      <c r="U41" s="6" t="s">
        <v>76</v>
      </c>
      <c r="V41" s="71">
        <v>45334</v>
      </c>
      <c r="W41" s="10" t="s">
        <v>45</v>
      </c>
      <c r="X41" s="114">
        <v>96066</v>
      </c>
      <c r="Y41" s="70" t="s">
        <v>341</v>
      </c>
      <c r="Z41" s="70"/>
      <c r="AA41" s="78"/>
      <c r="AB41" s="71">
        <v>45320</v>
      </c>
      <c r="AC41" s="71">
        <v>45332</v>
      </c>
      <c r="AD41" s="79"/>
      <c r="AE41" s="112">
        <v>45342</v>
      </c>
    </row>
    <row r="42" spans="1:46" s="15" customFormat="1" ht="18" hidden="1" customHeight="1" x14ac:dyDescent="0.25">
      <c r="A42" s="210" t="s">
        <v>267</v>
      </c>
      <c r="B42" s="31">
        <v>24543</v>
      </c>
      <c r="C42" s="32">
        <v>40000</v>
      </c>
      <c r="D42" s="53" t="s">
        <v>249</v>
      </c>
      <c r="E42" s="31" t="s">
        <v>444</v>
      </c>
      <c r="F42" s="31"/>
      <c r="G42" s="31"/>
      <c r="H42" s="51" t="s">
        <v>37</v>
      </c>
      <c r="I42" s="51" t="s">
        <v>445</v>
      </c>
      <c r="J42" s="51" t="s">
        <v>62</v>
      </c>
      <c r="K42" s="51"/>
      <c r="L42" s="54">
        <v>45331</v>
      </c>
      <c r="M42" s="34"/>
      <c r="N42" s="31" t="s">
        <v>333</v>
      </c>
      <c r="O42" s="35">
        <v>6300</v>
      </c>
      <c r="P42" s="31" t="s">
        <v>80</v>
      </c>
      <c r="Q42" s="49">
        <f t="shared" si="1"/>
        <v>0.1575</v>
      </c>
      <c r="R42" s="49"/>
      <c r="S42" s="49"/>
      <c r="T42" s="33"/>
      <c r="U42" s="42" t="s">
        <v>66</v>
      </c>
      <c r="V42" s="102">
        <v>45335</v>
      </c>
      <c r="W42" s="33" t="s">
        <v>446</v>
      </c>
      <c r="X42" s="50">
        <v>165564</v>
      </c>
      <c r="Y42" s="33" t="s">
        <v>215</v>
      </c>
      <c r="Z42" s="33"/>
      <c r="AA42" s="78"/>
      <c r="AB42" s="78"/>
      <c r="AC42" s="7">
        <v>45333</v>
      </c>
      <c r="AD42" s="40"/>
      <c r="AE42" s="112">
        <v>45335</v>
      </c>
    </row>
    <row r="43" spans="1:46" ht="18" hidden="1" customHeight="1" x14ac:dyDescent="0.25">
      <c r="A43" s="113" t="s">
        <v>447</v>
      </c>
      <c r="B43" s="6">
        <v>24763</v>
      </c>
      <c r="C43" s="5">
        <v>53000</v>
      </c>
      <c r="D43" s="6" t="s">
        <v>48</v>
      </c>
      <c r="E43" s="116" t="s">
        <v>448</v>
      </c>
      <c r="F43" s="67" t="s">
        <v>449</v>
      </c>
      <c r="G43" s="67" t="s">
        <v>108</v>
      </c>
      <c r="H43" s="6" t="s">
        <v>51</v>
      </c>
      <c r="I43" s="6"/>
      <c r="J43" s="6" t="s">
        <v>38</v>
      </c>
      <c r="K43" s="6"/>
      <c r="L43" s="71">
        <v>45261</v>
      </c>
      <c r="M43" s="11"/>
      <c r="N43" s="6" t="s">
        <v>40</v>
      </c>
      <c r="O43" s="13">
        <v>575</v>
      </c>
      <c r="P43" s="6" t="s">
        <v>80</v>
      </c>
      <c r="Q43" s="41">
        <f t="shared" si="1"/>
        <v>1.0849056603773584E-2</v>
      </c>
      <c r="R43" s="7">
        <v>45324</v>
      </c>
      <c r="S43" s="41" t="s">
        <v>121</v>
      </c>
      <c r="T43" s="7">
        <v>45331</v>
      </c>
      <c r="U43" s="6" t="s">
        <v>76</v>
      </c>
      <c r="V43" s="71">
        <v>45335</v>
      </c>
      <c r="W43" s="10" t="s">
        <v>45</v>
      </c>
      <c r="X43" s="114">
        <v>88850</v>
      </c>
      <c r="Y43" s="11" t="s">
        <v>341</v>
      </c>
      <c r="Z43" s="11"/>
      <c r="AA43" s="63"/>
      <c r="AB43" s="71">
        <v>45330</v>
      </c>
      <c r="AC43" s="71">
        <v>45332</v>
      </c>
      <c r="AD43" s="79"/>
      <c r="AE43" s="112">
        <v>45342</v>
      </c>
    </row>
    <row r="44" spans="1:46" s="30" customFormat="1" ht="18.75" hidden="1" customHeight="1" x14ac:dyDescent="0.25">
      <c r="A44" s="21" t="s">
        <v>450</v>
      </c>
      <c r="B44" s="22">
        <v>25539</v>
      </c>
      <c r="C44" s="23">
        <v>40000</v>
      </c>
      <c r="D44" s="22" t="s">
        <v>249</v>
      </c>
      <c r="E44" s="22" t="s">
        <v>451</v>
      </c>
      <c r="F44" s="22"/>
      <c r="G44" s="22"/>
      <c r="H44" s="24" t="s">
        <v>37</v>
      </c>
      <c r="I44" s="24" t="s">
        <v>452</v>
      </c>
      <c r="J44" s="24" t="s">
        <v>53</v>
      </c>
      <c r="K44" s="24"/>
      <c r="L44" s="25">
        <v>45335</v>
      </c>
      <c r="M44" s="25"/>
      <c r="N44" s="22" t="s">
        <v>45</v>
      </c>
      <c r="O44" s="26">
        <v>0</v>
      </c>
      <c r="P44" s="22"/>
      <c r="Q44" s="27">
        <f t="shared" si="1"/>
        <v>0</v>
      </c>
      <c r="R44" s="27"/>
      <c r="S44" s="27"/>
      <c r="T44" s="24"/>
      <c r="U44" s="28" t="s">
        <v>66</v>
      </c>
      <c r="V44" s="91">
        <v>45336</v>
      </c>
      <c r="W44" s="24" t="s">
        <v>45</v>
      </c>
      <c r="X44" s="29">
        <v>87200</v>
      </c>
      <c r="Y44" s="24" t="s">
        <v>215</v>
      </c>
      <c r="Z44" s="24"/>
      <c r="AA44" s="78"/>
      <c r="AB44" s="78"/>
      <c r="AC44" s="78"/>
      <c r="AD44" s="43"/>
      <c r="AE44" s="112" t="s">
        <v>378</v>
      </c>
      <c r="AF44" s="15"/>
      <c r="AG44" s="15"/>
      <c r="AH44" s="15"/>
      <c r="AI44" s="15"/>
      <c r="AJ44" s="15"/>
      <c r="AK44" s="15"/>
      <c r="AL44" s="15"/>
      <c r="AM44" s="15"/>
      <c r="AN44" s="15"/>
      <c r="AO44" s="15"/>
      <c r="AP44" s="15"/>
      <c r="AQ44" s="15"/>
    </row>
    <row r="45" spans="1:46" ht="18" hidden="1" customHeight="1" x14ac:dyDescent="0.25">
      <c r="A45" s="66" t="s">
        <v>453</v>
      </c>
      <c r="B45" s="73">
        <v>24568</v>
      </c>
      <c r="C45" s="68">
        <v>55000</v>
      </c>
      <c r="D45" s="67" t="s">
        <v>48</v>
      </c>
      <c r="E45" s="117" t="s">
        <v>454</v>
      </c>
      <c r="F45" s="67" t="s">
        <v>455</v>
      </c>
      <c r="G45" s="67" t="s">
        <v>119</v>
      </c>
      <c r="H45" s="6" t="s">
        <v>109</v>
      </c>
      <c r="I45" s="67"/>
      <c r="J45" s="67" t="s">
        <v>75</v>
      </c>
      <c r="K45" s="67"/>
      <c r="L45" s="7">
        <v>45291</v>
      </c>
      <c r="M45" s="72"/>
      <c r="N45" s="73" t="s">
        <v>40</v>
      </c>
      <c r="O45" s="118">
        <v>575</v>
      </c>
      <c r="P45" s="73" t="s">
        <v>80</v>
      </c>
      <c r="Q45" s="119">
        <f t="shared" si="1"/>
        <v>1.0454545454545454E-2</v>
      </c>
      <c r="R45" s="7">
        <v>45312</v>
      </c>
      <c r="S45" s="75" t="s">
        <v>65</v>
      </c>
      <c r="T45" s="7">
        <v>45334</v>
      </c>
      <c r="U45" s="67" t="s">
        <v>178</v>
      </c>
      <c r="V45" s="71">
        <v>45335</v>
      </c>
      <c r="W45" s="10" t="s">
        <v>45</v>
      </c>
      <c r="X45" s="114">
        <f>64294</f>
        <v>64294</v>
      </c>
      <c r="Y45" s="70" t="s">
        <v>341</v>
      </c>
      <c r="Z45" s="70"/>
      <c r="AA45" s="78"/>
      <c r="AB45" s="71">
        <v>45322</v>
      </c>
      <c r="AC45" s="71">
        <v>45333</v>
      </c>
      <c r="AD45" s="96"/>
      <c r="AE45" s="112">
        <v>45342</v>
      </c>
    </row>
    <row r="46" spans="1:46" ht="18" hidden="1" customHeight="1" x14ac:dyDescent="0.25">
      <c r="A46" s="115" t="s">
        <v>351</v>
      </c>
      <c r="B46" s="73">
        <v>24094</v>
      </c>
      <c r="C46" s="68">
        <v>44000</v>
      </c>
      <c r="D46" s="67" t="s">
        <v>48</v>
      </c>
      <c r="E46" s="117" t="s">
        <v>442</v>
      </c>
      <c r="F46" s="67" t="s">
        <v>456</v>
      </c>
      <c r="G46" s="67" t="s">
        <v>108</v>
      </c>
      <c r="H46" s="67" t="s">
        <v>51</v>
      </c>
      <c r="I46" s="67"/>
      <c r="J46" s="67" t="s">
        <v>38</v>
      </c>
      <c r="K46" s="67"/>
      <c r="L46" s="71">
        <v>45282</v>
      </c>
      <c r="M46" s="72"/>
      <c r="N46" s="6" t="s">
        <v>40</v>
      </c>
      <c r="O46" s="118">
        <v>575</v>
      </c>
      <c r="P46" s="73"/>
      <c r="Q46" s="119">
        <f t="shared" si="1"/>
        <v>1.3068181818181817E-2</v>
      </c>
      <c r="R46" s="7">
        <v>45324</v>
      </c>
      <c r="S46" s="119" t="s">
        <v>121</v>
      </c>
      <c r="T46" s="7">
        <v>45331</v>
      </c>
      <c r="U46" s="6" t="s">
        <v>76</v>
      </c>
      <c r="V46" s="71">
        <v>45336</v>
      </c>
      <c r="W46" s="10" t="s">
        <v>45</v>
      </c>
      <c r="X46" s="114">
        <v>103950</v>
      </c>
      <c r="Y46" s="70" t="s">
        <v>341</v>
      </c>
      <c r="Z46" s="70"/>
      <c r="AA46" s="78"/>
      <c r="AB46" s="71">
        <v>45321</v>
      </c>
      <c r="AC46" s="71">
        <v>45332</v>
      </c>
      <c r="AD46" s="79"/>
      <c r="AE46" s="112">
        <v>45349</v>
      </c>
    </row>
    <row r="47" spans="1:46" s="30" customFormat="1" ht="18" hidden="1" customHeight="1" x14ac:dyDescent="0.25">
      <c r="A47" s="109" t="s">
        <v>267</v>
      </c>
      <c r="B47" s="22">
        <v>24329</v>
      </c>
      <c r="C47" s="23">
        <v>40000</v>
      </c>
      <c r="D47" s="22" t="s">
        <v>249</v>
      </c>
      <c r="E47" s="22" t="s">
        <v>457</v>
      </c>
      <c r="F47" s="22"/>
      <c r="G47" s="22"/>
      <c r="H47" s="24" t="s">
        <v>37</v>
      </c>
      <c r="I47" s="24" t="s">
        <v>356</v>
      </c>
      <c r="J47" s="24" t="s">
        <v>62</v>
      </c>
      <c r="K47" s="24"/>
      <c r="L47" s="25">
        <v>45330</v>
      </c>
      <c r="M47" s="25"/>
      <c r="N47" s="22" t="s">
        <v>458</v>
      </c>
      <c r="O47" s="26">
        <v>6300</v>
      </c>
      <c r="P47" s="22" t="s">
        <v>80</v>
      </c>
      <c r="Q47" s="27">
        <f t="shared" si="1"/>
        <v>0.1575</v>
      </c>
      <c r="R47" s="27"/>
      <c r="S47" s="27"/>
      <c r="T47" s="24"/>
      <c r="U47" s="28" t="s">
        <v>66</v>
      </c>
      <c r="V47" s="91">
        <v>45336</v>
      </c>
      <c r="W47" s="24" t="s">
        <v>45</v>
      </c>
      <c r="X47" s="29">
        <v>78000</v>
      </c>
      <c r="Y47" s="24" t="s">
        <v>215</v>
      </c>
      <c r="Z47" s="24"/>
      <c r="AA47" s="78"/>
      <c r="AB47" s="78"/>
      <c r="AC47" s="7">
        <v>45335</v>
      </c>
      <c r="AD47" s="38"/>
      <c r="AE47" s="112">
        <v>45336</v>
      </c>
      <c r="AF47" s="15"/>
      <c r="AG47" s="15"/>
      <c r="AH47" s="15"/>
      <c r="AI47" s="15"/>
      <c r="AJ47" s="15"/>
      <c r="AK47" s="15"/>
      <c r="AL47" s="15"/>
      <c r="AM47" s="15"/>
      <c r="AN47" s="15"/>
      <c r="AO47" s="15"/>
      <c r="AP47" s="15"/>
      <c r="AQ47" s="15"/>
    </row>
    <row r="48" spans="1:46" ht="18" hidden="1" customHeight="1" x14ac:dyDescent="0.25">
      <c r="A48" s="115" t="s">
        <v>459</v>
      </c>
      <c r="B48" s="73">
        <v>23790</v>
      </c>
      <c r="C48" s="68">
        <v>55000</v>
      </c>
      <c r="D48" s="67" t="s">
        <v>48</v>
      </c>
      <c r="E48" s="117" t="s">
        <v>460</v>
      </c>
      <c r="F48" s="67" t="s">
        <v>461</v>
      </c>
      <c r="G48" s="67" t="s">
        <v>36</v>
      </c>
      <c r="H48" s="67" t="s">
        <v>51</v>
      </c>
      <c r="I48" s="67" t="s">
        <v>462</v>
      </c>
      <c r="J48" s="67" t="s">
        <v>156</v>
      </c>
      <c r="K48" s="67"/>
      <c r="L48" s="7">
        <v>45280</v>
      </c>
      <c r="M48" s="72"/>
      <c r="N48" s="73" t="s">
        <v>40</v>
      </c>
      <c r="O48" s="118">
        <v>575</v>
      </c>
      <c r="P48" s="73" t="s">
        <v>80</v>
      </c>
      <c r="Q48" s="119">
        <f t="shared" si="1"/>
        <v>1.0454545454545454E-2</v>
      </c>
      <c r="R48" s="157"/>
      <c r="S48" s="119"/>
      <c r="T48" s="7">
        <v>45334</v>
      </c>
      <c r="U48" s="67" t="s">
        <v>43</v>
      </c>
      <c r="V48" s="71">
        <v>45336</v>
      </c>
      <c r="W48" s="10" t="s">
        <v>334</v>
      </c>
      <c r="X48" s="114">
        <v>45000</v>
      </c>
      <c r="Y48" s="70" t="s">
        <v>341</v>
      </c>
      <c r="Z48" s="70"/>
      <c r="AA48" s="78"/>
      <c r="AB48" s="71">
        <v>45324</v>
      </c>
      <c r="AC48" s="71">
        <v>45334</v>
      </c>
      <c r="AD48" s="96"/>
      <c r="AE48" s="112">
        <v>45342</v>
      </c>
    </row>
    <row r="49" spans="1:45" ht="18" hidden="1" customHeight="1" x14ac:dyDescent="0.25">
      <c r="A49" s="120" t="s">
        <v>463</v>
      </c>
      <c r="B49" s="6">
        <v>25280</v>
      </c>
      <c r="C49" s="5">
        <v>55000</v>
      </c>
      <c r="D49" s="6" t="s">
        <v>33</v>
      </c>
      <c r="E49" s="116" t="s">
        <v>464</v>
      </c>
      <c r="F49" s="67" t="s">
        <v>465</v>
      </c>
      <c r="G49" s="67" t="s">
        <v>119</v>
      </c>
      <c r="H49" s="6" t="s">
        <v>51</v>
      </c>
      <c r="I49" s="6"/>
      <c r="J49" s="6" t="s">
        <v>466</v>
      </c>
      <c r="K49" s="6"/>
      <c r="L49" s="7">
        <v>45315</v>
      </c>
      <c r="M49" s="11"/>
      <c r="N49" s="73" t="s">
        <v>40</v>
      </c>
      <c r="O49" s="118">
        <v>575</v>
      </c>
      <c r="P49" s="73" t="s">
        <v>80</v>
      </c>
      <c r="Q49" s="41">
        <f t="shared" si="1"/>
        <v>1.0454545454545454E-2</v>
      </c>
      <c r="R49" s="7"/>
      <c r="S49" s="41"/>
      <c r="T49" s="7">
        <v>45333</v>
      </c>
      <c r="U49" s="67" t="s">
        <v>43</v>
      </c>
      <c r="V49" s="71">
        <v>45337</v>
      </c>
      <c r="W49" s="10" t="s">
        <v>334</v>
      </c>
      <c r="X49" s="114">
        <v>66570</v>
      </c>
      <c r="Y49" s="11" t="s">
        <v>341</v>
      </c>
      <c r="Z49" s="11"/>
      <c r="AA49" s="63"/>
      <c r="AB49" s="7">
        <v>45335</v>
      </c>
      <c r="AC49" s="7">
        <v>45333</v>
      </c>
      <c r="AD49" s="96"/>
      <c r="AE49" s="112">
        <v>45342</v>
      </c>
    </row>
    <row r="50" spans="1:45" ht="18" hidden="1" customHeight="1" x14ac:dyDescent="0.25">
      <c r="A50" s="115" t="s">
        <v>467</v>
      </c>
      <c r="B50" s="73">
        <v>24901</v>
      </c>
      <c r="C50" s="68">
        <v>44000</v>
      </c>
      <c r="D50" s="67" t="s">
        <v>105</v>
      </c>
      <c r="E50" s="117" t="s">
        <v>468</v>
      </c>
      <c r="F50" s="67" t="s">
        <v>469</v>
      </c>
      <c r="G50" s="67" t="s">
        <v>36</v>
      </c>
      <c r="H50" s="67" t="s">
        <v>51</v>
      </c>
      <c r="I50" s="67"/>
      <c r="J50" s="67" t="s">
        <v>38</v>
      </c>
      <c r="K50" s="67"/>
      <c r="L50" s="7">
        <v>45285</v>
      </c>
      <c r="M50" s="72"/>
      <c r="N50" s="73" t="s">
        <v>40</v>
      </c>
      <c r="O50" s="118">
        <v>575</v>
      </c>
      <c r="P50" s="73" t="s">
        <v>80</v>
      </c>
      <c r="Q50" s="119">
        <f t="shared" si="1"/>
        <v>1.3068181818181817E-2</v>
      </c>
      <c r="R50" s="157"/>
      <c r="S50" s="119"/>
      <c r="T50" s="7">
        <v>45334</v>
      </c>
      <c r="U50" s="67" t="s">
        <v>43</v>
      </c>
      <c r="V50" s="71">
        <v>45337</v>
      </c>
      <c r="W50" s="10" t="s">
        <v>45</v>
      </c>
      <c r="X50" s="114">
        <v>67200</v>
      </c>
      <c r="Y50" s="11" t="s">
        <v>68</v>
      </c>
      <c r="Z50" s="11"/>
      <c r="AA50" s="7">
        <v>45327</v>
      </c>
      <c r="AB50" s="71">
        <v>45328</v>
      </c>
      <c r="AC50" s="71">
        <v>45334</v>
      </c>
      <c r="AD50" s="96"/>
      <c r="AE50" s="112">
        <v>45342</v>
      </c>
    </row>
    <row r="51" spans="1:45" s="15" customFormat="1" ht="18" hidden="1" customHeight="1" x14ac:dyDescent="0.25">
      <c r="A51" s="209" t="s">
        <v>470</v>
      </c>
      <c r="B51" s="6">
        <v>24509</v>
      </c>
      <c r="C51" s="5">
        <v>55100</v>
      </c>
      <c r="D51" s="6" t="s">
        <v>48</v>
      </c>
      <c r="E51" s="6" t="s">
        <v>471</v>
      </c>
      <c r="F51" s="67" t="s">
        <v>472</v>
      </c>
      <c r="G51" s="6" t="s">
        <v>108</v>
      </c>
      <c r="H51" s="6" t="s">
        <v>109</v>
      </c>
      <c r="I51" s="6"/>
      <c r="J51" s="6" t="s">
        <v>473</v>
      </c>
      <c r="K51" s="6"/>
      <c r="L51" s="71">
        <v>45287</v>
      </c>
      <c r="M51" s="7"/>
      <c r="N51" s="73" t="s">
        <v>40</v>
      </c>
      <c r="O51" s="118">
        <v>575</v>
      </c>
      <c r="P51" s="73" t="s">
        <v>80</v>
      </c>
      <c r="Q51" s="41">
        <f t="shared" si="1"/>
        <v>1.0435571687840291E-2</v>
      </c>
      <c r="R51" s="36"/>
      <c r="S51" s="36"/>
      <c r="T51" s="7">
        <v>45335</v>
      </c>
      <c r="U51" s="17" t="s">
        <v>43</v>
      </c>
      <c r="V51" s="71">
        <v>45337</v>
      </c>
      <c r="W51" s="11" t="s">
        <v>45</v>
      </c>
      <c r="X51" s="114">
        <v>64490</v>
      </c>
      <c r="Y51" s="11" t="s">
        <v>68</v>
      </c>
      <c r="Z51" s="11"/>
      <c r="AA51" s="7">
        <v>45335</v>
      </c>
      <c r="AB51" s="7">
        <v>45336</v>
      </c>
      <c r="AC51" s="7">
        <v>45335</v>
      </c>
      <c r="AD51" s="38"/>
      <c r="AE51" s="112">
        <v>45342</v>
      </c>
    </row>
    <row r="52" spans="1:45" ht="18" hidden="1" customHeight="1" x14ac:dyDescent="0.25">
      <c r="A52" s="113" t="s">
        <v>459</v>
      </c>
      <c r="B52" s="6">
        <v>23792</v>
      </c>
      <c r="C52" s="5">
        <v>55000</v>
      </c>
      <c r="D52" s="67" t="s">
        <v>105</v>
      </c>
      <c r="E52" s="116" t="s">
        <v>474</v>
      </c>
      <c r="F52" s="67" t="s">
        <v>475</v>
      </c>
      <c r="G52" s="67" t="s">
        <v>36</v>
      </c>
      <c r="H52" s="6" t="s">
        <v>51</v>
      </c>
      <c r="I52" s="67" t="s">
        <v>462</v>
      </c>
      <c r="J52" s="67" t="s">
        <v>156</v>
      </c>
      <c r="K52" s="67"/>
      <c r="L52" s="7">
        <v>45254</v>
      </c>
      <c r="M52" s="11"/>
      <c r="N52" s="73" t="s">
        <v>40</v>
      </c>
      <c r="O52" s="118">
        <v>575</v>
      </c>
      <c r="P52" s="73" t="s">
        <v>80</v>
      </c>
      <c r="Q52" s="41">
        <f t="shared" si="1"/>
        <v>1.0454545454545454E-2</v>
      </c>
      <c r="R52" s="7"/>
      <c r="S52" s="41"/>
      <c r="T52" s="7">
        <v>45334</v>
      </c>
      <c r="U52" s="67" t="s">
        <v>43</v>
      </c>
      <c r="V52" s="71">
        <v>45338</v>
      </c>
      <c r="W52" s="10" t="s">
        <v>334</v>
      </c>
      <c r="X52" s="114">
        <v>51400</v>
      </c>
      <c r="Y52" s="11" t="s">
        <v>341</v>
      </c>
      <c r="Z52" s="11"/>
      <c r="AA52" s="63"/>
      <c r="AB52" s="71">
        <v>45330</v>
      </c>
      <c r="AC52" s="71">
        <v>45334</v>
      </c>
      <c r="AD52" s="96"/>
      <c r="AE52" s="112">
        <v>45342</v>
      </c>
    </row>
    <row r="53" spans="1:45" ht="18" hidden="1" customHeight="1" x14ac:dyDescent="0.25">
      <c r="A53" s="120" t="s">
        <v>476</v>
      </c>
      <c r="B53" s="6">
        <v>24202</v>
      </c>
      <c r="C53" s="5">
        <v>55000</v>
      </c>
      <c r="D53" s="6" t="s">
        <v>48</v>
      </c>
      <c r="E53" s="116" t="s">
        <v>477</v>
      </c>
      <c r="F53" s="67" t="s">
        <v>478</v>
      </c>
      <c r="G53" s="67" t="s">
        <v>108</v>
      </c>
      <c r="H53" s="6" t="s">
        <v>51</v>
      </c>
      <c r="I53" s="6"/>
      <c r="J53" s="6" t="s">
        <v>479</v>
      </c>
      <c r="K53" s="6"/>
      <c r="L53" s="7">
        <v>45296</v>
      </c>
      <c r="M53" s="11"/>
      <c r="N53" s="73" t="s">
        <v>40</v>
      </c>
      <c r="O53" s="118">
        <v>575</v>
      </c>
      <c r="P53" s="73" t="s">
        <v>80</v>
      </c>
      <c r="Q53" s="41">
        <f t="shared" si="1"/>
        <v>1.0454545454545454E-2</v>
      </c>
      <c r="R53" s="7"/>
      <c r="S53" s="41"/>
      <c r="T53" s="7">
        <v>45335</v>
      </c>
      <c r="U53" s="67" t="s">
        <v>43</v>
      </c>
      <c r="V53" s="71">
        <v>45338</v>
      </c>
      <c r="W53" s="76" t="s">
        <v>358</v>
      </c>
      <c r="X53" s="114">
        <v>24055</v>
      </c>
      <c r="Y53" s="11" t="s">
        <v>341</v>
      </c>
      <c r="Z53" s="11"/>
      <c r="AA53" s="63"/>
      <c r="AB53" s="7">
        <v>45336</v>
      </c>
      <c r="AC53" s="7">
        <v>45335</v>
      </c>
      <c r="AD53" s="96"/>
      <c r="AE53" s="112">
        <v>45342</v>
      </c>
    </row>
    <row r="54" spans="1:45" ht="18" hidden="1" customHeight="1" x14ac:dyDescent="0.25">
      <c r="A54" s="120" t="s">
        <v>476</v>
      </c>
      <c r="B54" s="6">
        <v>24203</v>
      </c>
      <c r="C54" s="5">
        <v>55000</v>
      </c>
      <c r="D54" s="6" t="s">
        <v>48</v>
      </c>
      <c r="E54" s="116" t="s">
        <v>477</v>
      </c>
      <c r="F54" s="67" t="s">
        <v>480</v>
      </c>
      <c r="G54" s="67" t="s">
        <v>108</v>
      </c>
      <c r="H54" s="6" t="s">
        <v>51</v>
      </c>
      <c r="I54" s="6"/>
      <c r="J54" s="6" t="s">
        <v>479</v>
      </c>
      <c r="K54" s="6"/>
      <c r="L54" s="7">
        <v>45296</v>
      </c>
      <c r="M54" s="11"/>
      <c r="N54" s="73" t="s">
        <v>40</v>
      </c>
      <c r="O54" s="118">
        <v>575</v>
      </c>
      <c r="P54" s="73" t="s">
        <v>80</v>
      </c>
      <c r="Q54" s="41">
        <f t="shared" si="1"/>
        <v>1.0454545454545454E-2</v>
      </c>
      <c r="R54" s="7"/>
      <c r="S54" s="41"/>
      <c r="T54" s="7">
        <v>45335</v>
      </c>
      <c r="U54" s="67" t="s">
        <v>43</v>
      </c>
      <c r="V54" s="71">
        <v>45338</v>
      </c>
      <c r="W54" s="76" t="s">
        <v>358</v>
      </c>
      <c r="X54" s="114">
        <v>24055</v>
      </c>
      <c r="Y54" s="11" t="s">
        <v>341</v>
      </c>
      <c r="Z54" s="11"/>
      <c r="AA54" s="63"/>
      <c r="AB54" s="7">
        <v>45336</v>
      </c>
      <c r="AC54" s="7">
        <v>45335</v>
      </c>
      <c r="AD54" s="96"/>
      <c r="AE54" s="112">
        <v>45342</v>
      </c>
    </row>
    <row r="55" spans="1:45" ht="18" hidden="1" customHeight="1" x14ac:dyDescent="0.25">
      <c r="A55" s="109" t="s">
        <v>251</v>
      </c>
      <c r="B55" s="87">
        <v>24177</v>
      </c>
      <c r="C55" s="88">
        <v>40500</v>
      </c>
      <c r="D55" s="87" t="s">
        <v>249</v>
      </c>
      <c r="E55" s="89" t="s">
        <v>481</v>
      </c>
      <c r="F55" s="87"/>
      <c r="G55" s="87"/>
      <c r="H55" s="90" t="s">
        <v>37</v>
      </c>
      <c r="I55" s="90" t="s">
        <v>402</v>
      </c>
      <c r="J55" s="90" t="s">
        <v>62</v>
      </c>
      <c r="K55" s="90"/>
      <c r="L55" s="25">
        <v>45331</v>
      </c>
      <c r="M55" s="91"/>
      <c r="N55" s="22" t="s">
        <v>333</v>
      </c>
      <c r="O55" s="26">
        <v>6200</v>
      </c>
      <c r="P55" s="22" t="s">
        <v>80</v>
      </c>
      <c r="Q55" s="27">
        <f t="shared" si="1"/>
        <v>0.15308641975308643</v>
      </c>
      <c r="R55" s="91"/>
      <c r="S55" s="93"/>
      <c r="T55" s="91"/>
      <c r="U55" s="94" t="s">
        <v>66</v>
      </c>
      <c r="V55" s="91">
        <v>45338</v>
      </c>
      <c r="W55" s="90" t="s">
        <v>45</v>
      </c>
      <c r="X55" s="111">
        <v>88500</v>
      </c>
      <c r="Y55" s="90" t="s">
        <v>215</v>
      </c>
      <c r="Z55" s="90"/>
      <c r="AA55" s="78"/>
      <c r="AB55" s="78"/>
      <c r="AC55" s="7">
        <v>45336</v>
      </c>
      <c r="AD55" s="79" t="s">
        <v>482</v>
      </c>
      <c r="AE55" s="112">
        <v>45338</v>
      </c>
    </row>
    <row r="56" spans="1:45" ht="18" hidden="1" customHeight="1" x14ac:dyDescent="0.25">
      <c r="A56" s="120" t="s">
        <v>483</v>
      </c>
      <c r="B56" s="6">
        <v>24216</v>
      </c>
      <c r="C56" s="5">
        <v>55000</v>
      </c>
      <c r="D56" s="6" t="s">
        <v>48</v>
      </c>
      <c r="E56" s="116" t="s">
        <v>484</v>
      </c>
      <c r="F56" s="67" t="s">
        <v>485</v>
      </c>
      <c r="G56" s="67" t="s">
        <v>119</v>
      </c>
      <c r="H56" s="11" t="s">
        <v>37</v>
      </c>
      <c r="I56" s="11" t="s">
        <v>319</v>
      </c>
      <c r="J56" s="11" t="s">
        <v>486</v>
      </c>
      <c r="K56" s="11"/>
      <c r="L56" s="71">
        <v>45278</v>
      </c>
      <c r="M56" s="72" t="s">
        <v>487</v>
      </c>
      <c r="N56" s="73" t="s">
        <v>40</v>
      </c>
      <c r="O56" s="13">
        <f>3595+400</f>
        <v>3995</v>
      </c>
      <c r="P56" s="6" t="s">
        <v>41</v>
      </c>
      <c r="Q56" s="41">
        <f t="shared" si="1"/>
        <v>7.2636363636363638E-2</v>
      </c>
      <c r="R56" s="7"/>
      <c r="S56" s="41"/>
      <c r="T56" s="7">
        <v>45333</v>
      </c>
      <c r="U56" s="6" t="s">
        <v>43</v>
      </c>
      <c r="V56" s="71">
        <v>45341</v>
      </c>
      <c r="W56" s="10" t="s">
        <v>45</v>
      </c>
      <c r="X56" s="114">
        <v>88000</v>
      </c>
      <c r="Y56" s="11" t="s">
        <v>68</v>
      </c>
      <c r="Z56" s="11"/>
      <c r="AA56" s="7">
        <v>45337</v>
      </c>
      <c r="AB56" s="71">
        <v>45337</v>
      </c>
      <c r="AC56" s="7">
        <v>45336</v>
      </c>
      <c r="AD56" s="96"/>
      <c r="AE56" s="71">
        <v>45336</v>
      </c>
    </row>
    <row r="57" spans="1:45" ht="18" hidden="1" customHeight="1" x14ac:dyDescent="0.25">
      <c r="A57" s="115" t="s">
        <v>470</v>
      </c>
      <c r="B57" s="73">
        <v>24508</v>
      </c>
      <c r="C57" s="68">
        <v>55100</v>
      </c>
      <c r="D57" s="67" t="s">
        <v>48</v>
      </c>
      <c r="E57" s="117" t="s">
        <v>488</v>
      </c>
      <c r="F57" s="67" t="s">
        <v>489</v>
      </c>
      <c r="G57" s="67" t="s">
        <v>36</v>
      </c>
      <c r="H57" s="67" t="s">
        <v>109</v>
      </c>
      <c r="I57" s="67"/>
      <c r="J57" s="67" t="s">
        <v>473</v>
      </c>
      <c r="K57" s="67"/>
      <c r="L57" s="71">
        <v>45275</v>
      </c>
      <c r="M57" s="72"/>
      <c r="N57" s="73" t="s">
        <v>40</v>
      </c>
      <c r="O57" s="118">
        <v>575</v>
      </c>
      <c r="P57" s="73" t="s">
        <v>80</v>
      </c>
      <c r="Q57" s="75">
        <f t="shared" si="1"/>
        <v>1.0435571687840291E-2</v>
      </c>
      <c r="R57" s="71"/>
      <c r="S57" s="75"/>
      <c r="T57" s="7">
        <v>45337</v>
      </c>
      <c r="U57" s="67" t="s">
        <v>43</v>
      </c>
      <c r="V57" s="71">
        <v>45341</v>
      </c>
      <c r="W57" s="10" t="s">
        <v>45</v>
      </c>
      <c r="X57" s="114">
        <v>63130</v>
      </c>
      <c r="Y57" s="70" t="s">
        <v>68</v>
      </c>
      <c r="Z57" s="70"/>
      <c r="AA57" s="7">
        <v>45337</v>
      </c>
      <c r="AB57" s="71">
        <v>45337</v>
      </c>
      <c r="AC57" s="71">
        <v>45338</v>
      </c>
      <c r="AD57" s="96"/>
      <c r="AE57" s="71">
        <v>45349</v>
      </c>
    </row>
    <row r="58" spans="1:45" ht="18" hidden="1" customHeight="1" x14ac:dyDescent="0.25">
      <c r="A58" s="115" t="s">
        <v>490</v>
      </c>
      <c r="B58" s="73">
        <v>23802</v>
      </c>
      <c r="C58" s="68">
        <v>52800</v>
      </c>
      <c r="D58" s="67" t="s">
        <v>48</v>
      </c>
      <c r="E58" s="117" t="s">
        <v>491</v>
      </c>
      <c r="F58" s="67" t="s">
        <v>492</v>
      </c>
      <c r="G58" s="67" t="s">
        <v>119</v>
      </c>
      <c r="H58" s="67" t="s">
        <v>109</v>
      </c>
      <c r="I58" s="67"/>
      <c r="J58" s="67" t="s">
        <v>493</v>
      </c>
      <c r="K58" s="67"/>
      <c r="L58" s="71">
        <v>45297</v>
      </c>
      <c r="M58" s="72"/>
      <c r="N58" s="6" t="s">
        <v>40</v>
      </c>
      <c r="O58" s="118">
        <v>575</v>
      </c>
      <c r="P58" s="73" t="s">
        <v>80</v>
      </c>
      <c r="Q58" s="119">
        <f t="shared" si="1"/>
        <v>1.0890151515151516E-2</v>
      </c>
      <c r="R58" s="157">
        <v>45333</v>
      </c>
      <c r="S58" s="119" t="s">
        <v>494</v>
      </c>
      <c r="T58" s="7">
        <v>45338</v>
      </c>
      <c r="U58" s="67" t="s">
        <v>76</v>
      </c>
      <c r="V58" s="71">
        <v>45342</v>
      </c>
      <c r="W58" s="10" t="s">
        <v>358</v>
      </c>
      <c r="X58" s="114">
        <f>44040-12675</f>
        <v>31365</v>
      </c>
      <c r="Y58" s="70" t="s">
        <v>341</v>
      </c>
      <c r="Z58" s="70"/>
      <c r="AA58" s="78"/>
      <c r="AB58" s="71">
        <v>45337</v>
      </c>
      <c r="AC58" s="71">
        <v>45338</v>
      </c>
      <c r="AD58" s="96"/>
      <c r="AE58" s="71">
        <v>45349</v>
      </c>
    </row>
    <row r="59" spans="1:45" ht="18" hidden="1" customHeight="1" x14ac:dyDescent="0.25">
      <c r="A59" s="66" t="s">
        <v>453</v>
      </c>
      <c r="B59" s="73">
        <v>24241</v>
      </c>
      <c r="C59" s="68">
        <v>55000</v>
      </c>
      <c r="D59" s="67" t="s">
        <v>48</v>
      </c>
      <c r="E59" s="117" t="s">
        <v>495</v>
      </c>
      <c r="F59" s="67" t="s">
        <v>496</v>
      </c>
      <c r="G59" s="67" t="s">
        <v>119</v>
      </c>
      <c r="H59" s="6" t="s">
        <v>109</v>
      </c>
      <c r="I59" s="67"/>
      <c r="J59" s="67" t="s">
        <v>75</v>
      </c>
      <c r="K59" s="67"/>
      <c r="L59" s="7">
        <v>45291</v>
      </c>
      <c r="M59" s="72"/>
      <c r="N59" s="73" t="s">
        <v>40</v>
      </c>
      <c r="O59" s="118">
        <v>575</v>
      </c>
      <c r="P59" s="73" t="s">
        <v>80</v>
      </c>
      <c r="Q59" s="119">
        <f t="shared" si="1"/>
        <v>1.0454545454545454E-2</v>
      </c>
      <c r="R59" s="7">
        <v>45312</v>
      </c>
      <c r="S59" s="75" t="s">
        <v>65</v>
      </c>
      <c r="T59" s="7">
        <v>45340</v>
      </c>
      <c r="U59" s="67" t="s">
        <v>178</v>
      </c>
      <c r="V59" s="71">
        <v>45342</v>
      </c>
      <c r="W59" s="10" t="s">
        <v>334</v>
      </c>
      <c r="X59" s="114">
        <f>57970-11594</f>
        <v>46376</v>
      </c>
      <c r="Y59" s="70" t="s">
        <v>341</v>
      </c>
      <c r="Z59" s="70"/>
      <c r="AA59" s="78"/>
      <c r="AB59" s="71">
        <v>45322</v>
      </c>
      <c r="AC59" s="71"/>
      <c r="AD59" s="96"/>
      <c r="AE59" s="71">
        <v>45349</v>
      </c>
    </row>
    <row r="60" spans="1:45" s="30" customFormat="1" ht="18" hidden="1" customHeight="1" x14ac:dyDescent="0.25">
      <c r="A60" s="21" t="s">
        <v>267</v>
      </c>
      <c r="B60" s="22">
        <v>24540</v>
      </c>
      <c r="C60" s="23">
        <v>40000</v>
      </c>
      <c r="D60" s="22" t="s">
        <v>249</v>
      </c>
      <c r="E60" s="22" t="s">
        <v>497</v>
      </c>
      <c r="F60" s="22" t="s">
        <v>498</v>
      </c>
      <c r="G60" s="22"/>
      <c r="H60" s="24" t="s">
        <v>37</v>
      </c>
      <c r="I60" s="24" t="s">
        <v>356</v>
      </c>
      <c r="J60" s="24" t="s">
        <v>62</v>
      </c>
      <c r="K60" s="24"/>
      <c r="L60" s="91">
        <v>45331</v>
      </c>
      <c r="M60" s="25"/>
      <c r="N60" s="22" t="s">
        <v>434</v>
      </c>
      <c r="O60" s="26">
        <f>3700*1.2325</f>
        <v>4560.25</v>
      </c>
      <c r="P60" s="22" t="s">
        <v>41</v>
      </c>
      <c r="Q60" s="27">
        <f t="shared" si="1"/>
        <v>0.11400625</v>
      </c>
      <c r="R60" s="27"/>
      <c r="S60" s="27"/>
      <c r="T60" s="24"/>
      <c r="U60" s="28" t="s">
        <v>66</v>
      </c>
      <c r="V60" s="91">
        <v>45342</v>
      </c>
      <c r="W60" s="24" t="s">
        <v>358</v>
      </c>
      <c r="X60" s="29">
        <v>156366</v>
      </c>
      <c r="Y60" s="24" t="s">
        <v>215</v>
      </c>
      <c r="Z60" s="24"/>
      <c r="AA60" s="63"/>
      <c r="AB60" s="78"/>
      <c r="AC60" s="7">
        <v>45341</v>
      </c>
      <c r="AD60" s="48"/>
      <c r="AE60" s="71">
        <v>45329</v>
      </c>
      <c r="AF60" s="15"/>
      <c r="AG60" s="15"/>
      <c r="AH60" s="15"/>
      <c r="AI60" s="15"/>
      <c r="AJ60" s="15"/>
      <c r="AK60" s="15"/>
      <c r="AL60" s="15"/>
      <c r="AM60" s="15"/>
      <c r="AN60" s="15"/>
      <c r="AO60" s="15"/>
      <c r="AP60" s="15"/>
      <c r="AQ60" s="15"/>
      <c r="AR60" s="15"/>
      <c r="AS60" s="15"/>
    </row>
    <row r="61" spans="1:45" s="30" customFormat="1" ht="18.75" hidden="1" customHeight="1" x14ac:dyDescent="0.25">
      <c r="A61" s="21" t="s">
        <v>251</v>
      </c>
      <c r="B61" s="22">
        <v>24918</v>
      </c>
      <c r="C61" s="23">
        <v>40000</v>
      </c>
      <c r="D61" s="22" t="s">
        <v>249</v>
      </c>
      <c r="E61" s="22" t="s">
        <v>421</v>
      </c>
      <c r="F61" s="22"/>
      <c r="G61" s="22"/>
      <c r="H61" s="24" t="s">
        <v>37</v>
      </c>
      <c r="I61" s="24" t="s">
        <v>499</v>
      </c>
      <c r="J61" s="24" t="s">
        <v>62</v>
      </c>
      <c r="K61" s="24"/>
      <c r="L61" s="25">
        <v>45335</v>
      </c>
      <c r="M61" s="25"/>
      <c r="N61" s="22" t="s">
        <v>333</v>
      </c>
      <c r="O61" s="26">
        <v>6300</v>
      </c>
      <c r="P61" s="22" t="s">
        <v>80</v>
      </c>
      <c r="Q61" s="27">
        <f t="shared" si="1"/>
        <v>0.1575</v>
      </c>
      <c r="R61" s="27"/>
      <c r="S61" s="27"/>
      <c r="T61" s="24"/>
      <c r="U61" s="28" t="s">
        <v>66</v>
      </c>
      <c r="V61" s="91">
        <v>45343</v>
      </c>
      <c r="W61" s="24" t="s">
        <v>358</v>
      </c>
      <c r="X61" s="29">
        <v>91125</v>
      </c>
      <c r="Y61" s="24" t="s">
        <v>215</v>
      </c>
      <c r="Z61" s="24"/>
      <c r="AA61" s="78"/>
      <c r="AB61" s="78"/>
      <c r="AC61" s="7">
        <v>45339</v>
      </c>
      <c r="AD61" s="43" t="s">
        <v>500</v>
      </c>
      <c r="AE61" s="112">
        <v>45342</v>
      </c>
      <c r="AF61" s="15"/>
      <c r="AG61" s="15"/>
      <c r="AH61" s="15"/>
      <c r="AI61" s="15"/>
      <c r="AJ61" s="15"/>
      <c r="AK61" s="15"/>
      <c r="AL61" s="15"/>
      <c r="AM61" s="15"/>
      <c r="AN61" s="15"/>
      <c r="AO61" s="15"/>
      <c r="AP61" s="15"/>
      <c r="AQ61" s="15"/>
    </row>
    <row r="62" spans="1:45" ht="18" hidden="1" customHeight="1" x14ac:dyDescent="0.25">
      <c r="A62" s="121" t="s">
        <v>501</v>
      </c>
      <c r="B62" s="73">
        <v>24686</v>
      </c>
      <c r="C62" s="68">
        <v>44000</v>
      </c>
      <c r="D62" s="67" t="s">
        <v>105</v>
      </c>
      <c r="E62" s="117" t="s">
        <v>186</v>
      </c>
      <c r="F62" s="67" t="s">
        <v>502</v>
      </c>
      <c r="G62" s="67" t="s">
        <v>36</v>
      </c>
      <c r="H62" s="67" t="s">
        <v>109</v>
      </c>
      <c r="I62" s="67"/>
      <c r="J62" s="67" t="s">
        <v>120</v>
      </c>
      <c r="K62" s="67"/>
      <c r="L62" s="71">
        <v>45255</v>
      </c>
      <c r="M62" s="72"/>
      <c r="N62" s="67" t="s">
        <v>40</v>
      </c>
      <c r="O62" s="74">
        <v>575</v>
      </c>
      <c r="P62" s="67" t="s">
        <v>80</v>
      </c>
      <c r="Q62" s="75">
        <f t="shared" si="1"/>
        <v>1.3068181818181817E-2</v>
      </c>
      <c r="R62" s="71"/>
      <c r="S62" s="75"/>
      <c r="T62" s="7">
        <v>45340</v>
      </c>
      <c r="U62" s="6" t="s">
        <v>43</v>
      </c>
      <c r="V62" s="71">
        <v>45344</v>
      </c>
      <c r="W62" s="10" t="s">
        <v>503</v>
      </c>
      <c r="X62" s="114">
        <f>18160-3632</f>
        <v>14528</v>
      </c>
      <c r="Y62" s="70" t="s">
        <v>341</v>
      </c>
      <c r="Z62" s="70"/>
      <c r="AA62" s="78"/>
      <c r="AB62" s="71">
        <v>45338</v>
      </c>
      <c r="AC62" s="64">
        <v>45340</v>
      </c>
      <c r="AD62" s="96"/>
      <c r="AE62" s="71">
        <v>45349</v>
      </c>
    </row>
    <row r="63" spans="1:45" ht="18" hidden="1" customHeight="1" x14ac:dyDescent="0.25">
      <c r="A63" s="115" t="s">
        <v>409</v>
      </c>
      <c r="B63" s="73">
        <v>24709</v>
      </c>
      <c r="C63" s="68">
        <v>55000</v>
      </c>
      <c r="D63" s="67" t="s">
        <v>33</v>
      </c>
      <c r="E63" s="117" t="s">
        <v>410</v>
      </c>
      <c r="F63" s="67" t="s">
        <v>504</v>
      </c>
      <c r="G63" s="67" t="s">
        <v>36</v>
      </c>
      <c r="H63" s="70" t="s">
        <v>37</v>
      </c>
      <c r="I63" s="70" t="s">
        <v>412</v>
      </c>
      <c r="J63" s="70" t="s">
        <v>413</v>
      </c>
      <c r="K63" s="70"/>
      <c r="L63" s="7">
        <v>45278</v>
      </c>
      <c r="M63" s="72" t="s">
        <v>414</v>
      </c>
      <c r="N63" s="73" t="s">
        <v>40</v>
      </c>
      <c r="O63" s="118">
        <f>4735+400</f>
        <v>5135</v>
      </c>
      <c r="P63" s="73" t="s">
        <v>80</v>
      </c>
      <c r="Q63" s="41">
        <f t="shared" si="1"/>
        <v>9.3363636363636357E-2</v>
      </c>
      <c r="R63" s="7">
        <v>45326</v>
      </c>
      <c r="S63" s="41" t="s">
        <v>65</v>
      </c>
      <c r="T63" s="7">
        <v>45340</v>
      </c>
      <c r="U63" s="67" t="s">
        <v>76</v>
      </c>
      <c r="V63" s="71">
        <v>45343</v>
      </c>
      <c r="W63" s="10" t="s">
        <v>45</v>
      </c>
      <c r="X63" s="114">
        <v>38325</v>
      </c>
      <c r="Y63" s="70" t="s">
        <v>68</v>
      </c>
      <c r="Z63" s="70"/>
      <c r="AA63" s="71">
        <v>45342</v>
      </c>
      <c r="AB63" s="71">
        <v>45342</v>
      </c>
      <c r="AC63" s="71">
        <v>45340</v>
      </c>
      <c r="AD63" s="96"/>
      <c r="AE63" s="112">
        <v>45342</v>
      </c>
    </row>
    <row r="64" spans="1:45" ht="18" hidden="1" customHeight="1" x14ac:dyDescent="0.25">
      <c r="A64" s="121" t="s">
        <v>501</v>
      </c>
      <c r="B64" s="73">
        <v>24687</v>
      </c>
      <c r="C64" s="68">
        <v>44000</v>
      </c>
      <c r="D64" s="67" t="s">
        <v>105</v>
      </c>
      <c r="E64" s="117" t="s">
        <v>186</v>
      </c>
      <c r="F64" s="67" t="s">
        <v>505</v>
      </c>
      <c r="G64" s="67" t="s">
        <v>36</v>
      </c>
      <c r="H64" s="67" t="s">
        <v>109</v>
      </c>
      <c r="I64" s="67"/>
      <c r="J64" s="67" t="s">
        <v>120</v>
      </c>
      <c r="K64" s="67"/>
      <c r="L64" s="71">
        <v>45255</v>
      </c>
      <c r="M64" s="72"/>
      <c r="N64" s="67" t="s">
        <v>40</v>
      </c>
      <c r="O64" s="74">
        <v>575</v>
      </c>
      <c r="P64" s="67" t="s">
        <v>80</v>
      </c>
      <c r="Q64" s="75">
        <f t="shared" si="1"/>
        <v>1.3068181818181817E-2</v>
      </c>
      <c r="R64" s="71"/>
      <c r="S64" s="75"/>
      <c r="T64" s="7">
        <v>45340</v>
      </c>
      <c r="U64" s="6" t="s">
        <v>43</v>
      </c>
      <c r="V64" s="71">
        <v>45344</v>
      </c>
      <c r="W64" s="10" t="s">
        <v>503</v>
      </c>
      <c r="X64" s="114">
        <f>18160-3632</f>
        <v>14528</v>
      </c>
      <c r="Y64" s="70" t="s">
        <v>341</v>
      </c>
      <c r="Z64" s="70"/>
      <c r="AA64" s="78"/>
      <c r="AB64" s="71">
        <v>45338</v>
      </c>
      <c r="AC64" s="64">
        <v>45340</v>
      </c>
      <c r="AD64" s="96"/>
      <c r="AE64" s="71">
        <v>45349</v>
      </c>
    </row>
    <row r="65" spans="1:44" ht="18" hidden="1" customHeight="1" x14ac:dyDescent="0.25">
      <c r="A65" s="120" t="s">
        <v>506</v>
      </c>
      <c r="B65" s="6">
        <v>24846</v>
      </c>
      <c r="C65" s="5">
        <v>55000</v>
      </c>
      <c r="D65" s="6" t="s">
        <v>33</v>
      </c>
      <c r="E65" s="116" t="s">
        <v>410</v>
      </c>
      <c r="F65" s="67" t="s">
        <v>507</v>
      </c>
      <c r="G65" s="67" t="s">
        <v>36</v>
      </c>
      <c r="H65" s="70" t="s">
        <v>37</v>
      </c>
      <c r="I65" s="70" t="s">
        <v>412</v>
      </c>
      <c r="J65" s="70" t="s">
        <v>413</v>
      </c>
      <c r="K65" s="70"/>
      <c r="L65" s="7">
        <v>45278</v>
      </c>
      <c r="M65" s="11" t="s">
        <v>414</v>
      </c>
      <c r="N65" s="6" t="s">
        <v>40</v>
      </c>
      <c r="O65" s="13">
        <f>4735+400</f>
        <v>5135</v>
      </c>
      <c r="P65" s="6" t="s">
        <v>80</v>
      </c>
      <c r="Q65" s="41">
        <f t="shared" si="1"/>
        <v>9.3363636363636357E-2</v>
      </c>
      <c r="R65" s="7">
        <v>45326</v>
      </c>
      <c r="S65" s="41" t="s">
        <v>65</v>
      </c>
      <c r="T65" s="7">
        <v>45340</v>
      </c>
      <c r="U65" s="67" t="s">
        <v>76</v>
      </c>
      <c r="V65" s="71">
        <v>45344</v>
      </c>
      <c r="W65" s="10" t="s">
        <v>334</v>
      </c>
      <c r="X65" s="114">
        <v>40500</v>
      </c>
      <c r="Y65" s="11" t="s">
        <v>68</v>
      </c>
      <c r="Z65" s="11"/>
      <c r="AA65" s="71">
        <v>45342</v>
      </c>
      <c r="AB65" s="71">
        <v>45342</v>
      </c>
      <c r="AC65" s="71">
        <v>45340</v>
      </c>
      <c r="AD65" s="96"/>
      <c r="AE65" s="112">
        <v>45342</v>
      </c>
    </row>
    <row r="66" spans="1:44" ht="18" hidden="1" customHeight="1" x14ac:dyDescent="0.25">
      <c r="A66" s="124" t="s">
        <v>136</v>
      </c>
      <c r="B66" s="100">
        <v>24609</v>
      </c>
      <c r="C66" s="99">
        <v>35112</v>
      </c>
      <c r="D66" s="100" t="s">
        <v>105</v>
      </c>
      <c r="E66" s="125" t="s">
        <v>508</v>
      </c>
      <c r="F66" s="100" t="s">
        <v>509</v>
      </c>
      <c r="G66" s="100" t="s">
        <v>36</v>
      </c>
      <c r="H66" s="108" t="s">
        <v>37</v>
      </c>
      <c r="I66" s="108" t="s">
        <v>97</v>
      </c>
      <c r="J66" s="108" t="s">
        <v>98</v>
      </c>
      <c r="K66" s="108"/>
      <c r="L66" s="102">
        <v>45287</v>
      </c>
      <c r="M66" s="108" t="s">
        <v>99</v>
      </c>
      <c r="N66" s="100" t="s">
        <v>40</v>
      </c>
      <c r="O66" s="122">
        <f>2100+400</f>
        <v>2500</v>
      </c>
      <c r="P66" s="100" t="s">
        <v>41</v>
      </c>
      <c r="Q66" s="192">
        <f t="shared" si="1"/>
        <v>7.1200729095465931E-2</v>
      </c>
      <c r="R66" s="102"/>
      <c r="S66" s="123"/>
      <c r="T66" s="102">
        <v>45340</v>
      </c>
      <c r="U66" s="126" t="s">
        <v>43</v>
      </c>
      <c r="V66" s="102">
        <v>45344</v>
      </c>
      <c r="W66" s="102" t="s">
        <v>510</v>
      </c>
      <c r="X66" s="62">
        <v>75114</v>
      </c>
      <c r="Y66" s="108" t="s">
        <v>68</v>
      </c>
      <c r="Z66" s="108"/>
      <c r="AA66" s="71">
        <v>45342</v>
      </c>
      <c r="AB66" s="71">
        <v>45343</v>
      </c>
      <c r="AC66" s="71">
        <v>45340</v>
      </c>
      <c r="AD66" s="96"/>
      <c r="AE66" s="112">
        <v>45343</v>
      </c>
    </row>
    <row r="67" spans="1:44" ht="18" hidden="1" customHeight="1" x14ac:dyDescent="0.25">
      <c r="A67" s="124" t="s">
        <v>511</v>
      </c>
      <c r="B67" s="100">
        <v>25144</v>
      </c>
      <c r="C67" s="99">
        <v>44000</v>
      </c>
      <c r="D67" s="100" t="s">
        <v>105</v>
      </c>
      <c r="E67" s="125" t="s">
        <v>512</v>
      </c>
      <c r="F67" s="100" t="s">
        <v>513</v>
      </c>
      <c r="G67" s="100" t="s">
        <v>36</v>
      </c>
      <c r="H67" s="108" t="s">
        <v>37</v>
      </c>
      <c r="I67" s="108" t="s">
        <v>97</v>
      </c>
      <c r="J67" s="108" t="s">
        <v>98</v>
      </c>
      <c r="K67" s="108"/>
      <c r="L67" s="102">
        <v>45287</v>
      </c>
      <c r="M67" s="108" t="s">
        <v>99</v>
      </c>
      <c r="N67" s="100" t="s">
        <v>40</v>
      </c>
      <c r="O67" s="122">
        <f>2100+400</f>
        <v>2500</v>
      </c>
      <c r="P67" s="100" t="s">
        <v>41</v>
      </c>
      <c r="Q67" s="192">
        <f t="shared" si="1"/>
        <v>5.6818181818181816E-2</v>
      </c>
      <c r="R67" s="102"/>
      <c r="S67" s="123"/>
      <c r="T67" s="102">
        <v>45340</v>
      </c>
      <c r="U67" s="126" t="s">
        <v>43</v>
      </c>
      <c r="V67" s="102">
        <v>45344</v>
      </c>
      <c r="W67" s="102" t="s">
        <v>514</v>
      </c>
      <c r="X67" s="62">
        <v>48300</v>
      </c>
      <c r="Y67" s="108" t="s">
        <v>68</v>
      </c>
      <c r="Z67" s="108"/>
      <c r="AA67" s="71">
        <v>45342</v>
      </c>
      <c r="AB67" s="71">
        <v>45343</v>
      </c>
      <c r="AC67" s="71">
        <v>45342</v>
      </c>
      <c r="AD67" s="96"/>
      <c r="AE67" s="112">
        <v>45350</v>
      </c>
    </row>
    <row r="68" spans="1:44" s="30" customFormat="1" ht="17.25" hidden="1" customHeight="1" x14ac:dyDescent="0.25">
      <c r="A68" s="21" t="s">
        <v>515</v>
      </c>
      <c r="B68" s="22">
        <v>25192</v>
      </c>
      <c r="C68" s="23">
        <v>40500</v>
      </c>
      <c r="D68" s="22" t="s">
        <v>249</v>
      </c>
      <c r="E68" s="22" t="s">
        <v>516</v>
      </c>
      <c r="F68" s="22"/>
      <c r="G68" s="22"/>
      <c r="H68" s="24" t="s">
        <v>37</v>
      </c>
      <c r="I68" s="24" t="s">
        <v>517</v>
      </c>
      <c r="J68" s="24" t="s">
        <v>62</v>
      </c>
      <c r="K68" s="24"/>
      <c r="L68" s="25"/>
      <c r="M68" s="25"/>
      <c r="N68" s="22" t="s">
        <v>333</v>
      </c>
      <c r="O68" s="26">
        <v>4980</v>
      </c>
      <c r="P68" s="22" t="s">
        <v>80</v>
      </c>
      <c r="Q68" s="27">
        <f t="shared" si="1"/>
        <v>0.12296296296296297</v>
      </c>
      <c r="R68" s="217"/>
      <c r="S68" s="27"/>
      <c r="T68" s="24"/>
      <c r="U68" s="28" t="s">
        <v>66</v>
      </c>
      <c r="V68" s="91">
        <v>45345</v>
      </c>
      <c r="W68" s="24" t="s">
        <v>45</v>
      </c>
      <c r="X68" s="29">
        <v>176760</v>
      </c>
      <c r="Y68" s="24" t="s">
        <v>215</v>
      </c>
      <c r="Z68" s="24"/>
      <c r="AA68" s="63"/>
      <c r="AB68" s="78"/>
      <c r="AC68" s="71">
        <v>45344</v>
      </c>
      <c r="AD68" s="38"/>
      <c r="AE68" s="71">
        <v>45345</v>
      </c>
      <c r="AF68" s="15"/>
      <c r="AG68" s="15"/>
      <c r="AH68" s="15"/>
      <c r="AI68" s="15"/>
      <c r="AJ68" s="15"/>
      <c r="AK68" s="15"/>
      <c r="AL68" s="15"/>
      <c r="AM68" s="15"/>
      <c r="AN68" s="15"/>
      <c r="AO68" s="15"/>
      <c r="AP68" s="15"/>
      <c r="AQ68" s="15"/>
      <c r="AR68" s="15"/>
    </row>
    <row r="69" spans="1:44" s="30" customFormat="1" ht="18" hidden="1" customHeight="1" x14ac:dyDescent="0.25">
      <c r="A69" s="21" t="s">
        <v>259</v>
      </c>
      <c r="B69" s="22">
        <v>24564</v>
      </c>
      <c r="C69" s="23">
        <v>15840</v>
      </c>
      <c r="D69" s="22" t="s">
        <v>264</v>
      </c>
      <c r="E69" s="22" t="s">
        <v>273</v>
      </c>
      <c r="F69" s="22"/>
      <c r="G69" s="22"/>
      <c r="H69" s="24" t="s">
        <v>37</v>
      </c>
      <c r="I69" s="24" t="s">
        <v>261</v>
      </c>
      <c r="J69" s="24" t="s">
        <v>53</v>
      </c>
      <c r="K69" s="24"/>
      <c r="L69" s="25">
        <v>45345</v>
      </c>
      <c r="M69" s="25"/>
      <c r="N69" s="22"/>
      <c r="O69" s="26"/>
      <c r="P69" s="22"/>
      <c r="Q69" s="27">
        <v>0</v>
      </c>
      <c r="R69" s="27"/>
      <c r="S69" s="27"/>
      <c r="T69" s="24"/>
      <c r="U69" s="28" t="s">
        <v>66</v>
      </c>
      <c r="V69" s="91">
        <v>45345</v>
      </c>
      <c r="W69" s="24" t="s">
        <v>45</v>
      </c>
      <c r="X69" s="29">
        <v>29304</v>
      </c>
      <c r="Y69" s="24" t="s">
        <v>215</v>
      </c>
      <c r="Z69" s="24"/>
      <c r="AA69" s="78"/>
      <c r="AB69" s="78"/>
      <c r="AC69" s="78"/>
      <c r="AD69" s="182" t="s">
        <v>518</v>
      </c>
      <c r="AE69" s="112" t="s">
        <v>378</v>
      </c>
      <c r="AF69" s="15"/>
      <c r="AG69" s="15"/>
      <c r="AH69" s="15"/>
      <c r="AI69" s="15"/>
      <c r="AJ69" s="15"/>
      <c r="AK69" s="15"/>
      <c r="AL69" s="15"/>
      <c r="AM69" s="15"/>
      <c r="AN69" s="15"/>
      <c r="AO69" s="15"/>
      <c r="AP69" s="15"/>
      <c r="AQ69" s="15"/>
    </row>
    <row r="70" spans="1:44" s="30" customFormat="1" ht="18" hidden="1" customHeight="1" x14ac:dyDescent="0.25">
      <c r="A70" s="21" t="s">
        <v>259</v>
      </c>
      <c r="B70" s="22">
        <v>25547</v>
      </c>
      <c r="C70" s="23">
        <v>23000</v>
      </c>
      <c r="D70" s="22" t="s">
        <v>264</v>
      </c>
      <c r="E70" s="22" t="s">
        <v>519</v>
      </c>
      <c r="F70" s="22"/>
      <c r="G70" s="22"/>
      <c r="H70" s="24" t="s">
        <v>37</v>
      </c>
      <c r="I70" s="24" t="s">
        <v>261</v>
      </c>
      <c r="J70" s="24" t="s">
        <v>53</v>
      </c>
      <c r="K70" s="24"/>
      <c r="L70" s="25">
        <v>45345</v>
      </c>
      <c r="M70" s="25"/>
      <c r="N70" s="22"/>
      <c r="O70" s="26"/>
      <c r="P70" s="22"/>
      <c r="Q70" s="27">
        <v>0</v>
      </c>
      <c r="R70" s="27"/>
      <c r="S70" s="27"/>
      <c r="T70" s="24"/>
      <c r="U70" s="28" t="s">
        <v>66</v>
      </c>
      <c r="V70" s="91">
        <v>45345</v>
      </c>
      <c r="W70" s="24" t="s">
        <v>45</v>
      </c>
      <c r="X70" s="29">
        <v>23040</v>
      </c>
      <c r="Y70" s="24" t="s">
        <v>215</v>
      </c>
      <c r="Z70" s="24"/>
      <c r="AA70" s="78"/>
      <c r="AB70" s="78"/>
      <c r="AC70" s="78"/>
      <c r="AD70" s="182"/>
      <c r="AE70" s="112" t="s">
        <v>378</v>
      </c>
      <c r="AF70" s="15"/>
      <c r="AG70" s="15"/>
      <c r="AH70" s="15"/>
      <c r="AI70" s="15"/>
      <c r="AJ70" s="15"/>
      <c r="AK70" s="15"/>
      <c r="AL70" s="15"/>
      <c r="AM70" s="15"/>
      <c r="AN70" s="15"/>
      <c r="AO70" s="15"/>
      <c r="AP70" s="15"/>
      <c r="AQ70" s="15"/>
    </row>
    <row r="71" spans="1:44" ht="18" hidden="1" customHeight="1" x14ac:dyDescent="0.25">
      <c r="A71" s="121" t="s">
        <v>289</v>
      </c>
      <c r="B71" s="73">
        <v>25285</v>
      </c>
      <c r="C71" s="68">
        <v>44000</v>
      </c>
      <c r="D71" s="6" t="s">
        <v>105</v>
      </c>
      <c r="E71" s="117" t="s">
        <v>290</v>
      </c>
      <c r="F71" s="67" t="s">
        <v>520</v>
      </c>
      <c r="G71" s="67" t="s">
        <v>108</v>
      </c>
      <c r="H71" s="70" t="s">
        <v>37</v>
      </c>
      <c r="I71" s="70" t="s">
        <v>350</v>
      </c>
      <c r="J71" s="70" t="s">
        <v>292</v>
      </c>
      <c r="K71" s="70"/>
      <c r="L71" s="7">
        <v>45313</v>
      </c>
      <c r="M71" s="127" t="s">
        <v>521</v>
      </c>
      <c r="N71" s="6" t="s">
        <v>40</v>
      </c>
      <c r="O71" s="131">
        <f>2110.83+400</f>
        <v>2510.83</v>
      </c>
      <c r="P71" s="6" t="s">
        <v>41</v>
      </c>
      <c r="Q71" s="41">
        <f>+O71/C71</f>
        <v>5.7064318181818181E-2</v>
      </c>
      <c r="R71" s="7">
        <v>45338</v>
      </c>
      <c r="S71" s="41" t="s">
        <v>121</v>
      </c>
      <c r="T71" s="7">
        <v>45344</v>
      </c>
      <c r="U71" s="67" t="s">
        <v>76</v>
      </c>
      <c r="V71" s="7">
        <v>45348</v>
      </c>
      <c r="W71" s="10" t="s">
        <v>45</v>
      </c>
      <c r="X71" s="114">
        <v>48800</v>
      </c>
      <c r="Y71" s="11" t="s">
        <v>341</v>
      </c>
      <c r="Z71" s="11"/>
      <c r="AA71" s="78"/>
      <c r="AB71" s="71">
        <v>38040</v>
      </c>
      <c r="AC71" s="71">
        <v>45344</v>
      </c>
      <c r="AD71" s="96"/>
      <c r="AE71" s="71">
        <v>45335</v>
      </c>
    </row>
    <row r="72" spans="1:44" ht="18" hidden="1" customHeight="1" x14ac:dyDescent="0.25">
      <c r="A72" s="113" t="s">
        <v>506</v>
      </c>
      <c r="B72" s="6">
        <v>24847</v>
      </c>
      <c r="C72" s="5">
        <v>55000</v>
      </c>
      <c r="D72" s="6" t="s">
        <v>33</v>
      </c>
      <c r="E72" s="116" t="s">
        <v>522</v>
      </c>
      <c r="F72" s="67" t="s">
        <v>523</v>
      </c>
      <c r="G72" s="67" t="s">
        <v>36</v>
      </c>
      <c r="H72" s="70" t="s">
        <v>37</v>
      </c>
      <c r="I72" s="70" t="s">
        <v>412</v>
      </c>
      <c r="J72" s="70" t="s">
        <v>413</v>
      </c>
      <c r="K72" s="70"/>
      <c r="L72" s="7">
        <v>45278</v>
      </c>
      <c r="M72" s="11" t="s">
        <v>414</v>
      </c>
      <c r="N72" s="73" t="s">
        <v>40</v>
      </c>
      <c r="O72" s="118">
        <f>4735+400</f>
        <v>5135</v>
      </c>
      <c r="P72" s="73" t="s">
        <v>80</v>
      </c>
      <c r="Q72" s="41">
        <f>+O72/C72</f>
        <v>9.3363636363636357E-2</v>
      </c>
      <c r="R72" s="7">
        <v>45326</v>
      </c>
      <c r="S72" s="41" t="s">
        <v>65</v>
      </c>
      <c r="T72" s="7">
        <v>45340</v>
      </c>
      <c r="U72" s="67" t="s">
        <v>76</v>
      </c>
      <c r="V72" s="7">
        <v>45348</v>
      </c>
      <c r="W72" s="10" t="s">
        <v>334</v>
      </c>
      <c r="X72" s="114">
        <v>39420</v>
      </c>
      <c r="Y72" s="11" t="s">
        <v>68</v>
      </c>
      <c r="Z72" s="11"/>
      <c r="AA72" s="71">
        <v>38040</v>
      </c>
      <c r="AB72" s="71">
        <v>38040</v>
      </c>
      <c r="AC72" s="71">
        <v>45340</v>
      </c>
      <c r="AD72" s="96"/>
      <c r="AE72" s="71">
        <v>45344</v>
      </c>
    </row>
    <row r="73" spans="1:44" s="15" customFormat="1" ht="18" hidden="1" customHeight="1" x14ac:dyDescent="0.25">
      <c r="A73" s="166" t="s">
        <v>524</v>
      </c>
      <c r="B73" s="167">
        <v>25081</v>
      </c>
      <c r="C73" s="168">
        <v>13200</v>
      </c>
      <c r="D73" s="169" t="s">
        <v>33</v>
      </c>
      <c r="E73" s="167" t="s">
        <v>525</v>
      </c>
      <c r="F73" s="67" t="s">
        <v>526</v>
      </c>
      <c r="G73" s="135" t="s">
        <v>36</v>
      </c>
      <c r="H73" s="171" t="s">
        <v>37</v>
      </c>
      <c r="I73" s="171" t="s">
        <v>97</v>
      </c>
      <c r="J73" s="171" t="s">
        <v>98</v>
      </c>
      <c r="K73" s="171"/>
      <c r="L73" s="142">
        <v>45286</v>
      </c>
      <c r="M73" s="173" t="s">
        <v>99</v>
      </c>
      <c r="N73" s="133" t="s">
        <v>40</v>
      </c>
      <c r="O73" s="190">
        <f>2635+400</f>
        <v>3035</v>
      </c>
      <c r="P73" s="133" t="s">
        <v>41</v>
      </c>
      <c r="Q73" s="191"/>
      <c r="R73" s="178"/>
      <c r="S73" s="178"/>
      <c r="T73" s="64">
        <v>45340</v>
      </c>
      <c r="U73" s="179" t="s">
        <v>43</v>
      </c>
      <c r="V73" s="142">
        <v>45348</v>
      </c>
      <c r="W73" s="137" t="s">
        <v>45</v>
      </c>
      <c r="X73" s="224">
        <v>24900</v>
      </c>
      <c r="Y73" s="171" t="s">
        <v>68</v>
      </c>
      <c r="Z73" s="171"/>
      <c r="AA73" s="137">
        <v>45345</v>
      </c>
      <c r="AB73" s="137">
        <v>45345</v>
      </c>
      <c r="AC73" s="64">
        <v>45340</v>
      </c>
      <c r="AD73" s="181"/>
      <c r="AE73" s="71">
        <v>45343</v>
      </c>
    </row>
    <row r="74" spans="1:44" ht="18" hidden="1" customHeight="1" x14ac:dyDescent="0.25">
      <c r="A74" s="163" t="s">
        <v>136</v>
      </c>
      <c r="B74" s="144">
        <v>25082</v>
      </c>
      <c r="C74" s="164">
        <v>35112</v>
      </c>
      <c r="D74" s="165" t="s">
        <v>33</v>
      </c>
      <c r="E74" s="170" t="s">
        <v>527</v>
      </c>
      <c r="F74" s="67" t="s">
        <v>526</v>
      </c>
      <c r="G74" s="135" t="s">
        <v>36</v>
      </c>
      <c r="H74" s="171" t="s">
        <v>37</v>
      </c>
      <c r="I74" s="171" t="s">
        <v>97</v>
      </c>
      <c r="J74" s="171" t="s">
        <v>98</v>
      </c>
      <c r="K74" s="171"/>
      <c r="L74" s="142">
        <v>45286</v>
      </c>
      <c r="M74" s="172"/>
      <c r="N74" s="144"/>
      <c r="O74" s="174"/>
      <c r="P74" s="144"/>
      <c r="Q74" s="175"/>
      <c r="R74" s="176"/>
      <c r="S74" s="175"/>
      <c r="T74" s="65"/>
      <c r="U74" s="146"/>
      <c r="V74" s="148">
        <v>45348</v>
      </c>
      <c r="W74" s="149" t="s">
        <v>45</v>
      </c>
      <c r="X74" s="225">
        <v>103855.8</v>
      </c>
      <c r="Y74" s="150" t="s">
        <v>68</v>
      </c>
      <c r="Z74" s="742"/>
      <c r="AA74" s="137">
        <v>45345</v>
      </c>
      <c r="AB74" s="137">
        <v>45345</v>
      </c>
      <c r="AC74" s="64">
        <v>45340</v>
      </c>
      <c r="AD74" s="180"/>
      <c r="AE74" s="71">
        <v>45343</v>
      </c>
    </row>
    <row r="75" spans="1:44" s="30" customFormat="1" ht="18" hidden="1" customHeight="1" x14ac:dyDescent="0.25">
      <c r="A75" s="109" t="s">
        <v>251</v>
      </c>
      <c r="B75" s="22">
        <v>24178</v>
      </c>
      <c r="C75" s="23">
        <v>40500</v>
      </c>
      <c r="D75" s="22" t="s">
        <v>249</v>
      </c>
      <c r="E75" s="22" t="s">
        <v>528</v>
      </c>
      <c r="F75" s="22"/>
      <c r="G75" s="22"/>
      <c r="H75" s="24" t="s">
        <v>37</v>
      </c>
      <c r="I75" s="24" t="s">
        <v>499</v>
      </c>
      <c r="J75" s="24" t="s">
        <v>62</v>
      </c>
      <c r="K75" s="24"/>
      <c r="L75" s="25">
        <v>45342</v>
      </c>
      <c r="M75" s="25"/>
      <c r="N75" s="22" t="s">
        <v>333</v>
      </c>
      <c r="O75" s="26">
        <v>6200</v>
      </c>
      <c r="P75" s="22" t="s">
        <v>80</v>
      </c>
      <c r="Q75" s="27">
        <f>+O75/C75</f>
        <v>0.15308641975308643</v>
      </c>
      <c r="R75" s="27"/>
      <c r="S75" s="27"/>
      <c r="T75" s="24"/>
      <c r="U75" s="28" t="s">
        <v>66</v>
      </c>
      <c r="V75" s="91">
        <v>45348</v>
      </c>
      <c r="W75" s="24" t="s">
        <v>45</v>
      </c>
      <c r="X75" s="29">
        <v>108090</v>
      </c>
      <c r="Y75" s="24" t="s">
        <v>215</v>
      </c>
      <c r="Z75" s="24"/>
      <c r="AA75" s="78"/>
      <c r="AB75" s="78"/>
      <c r="AC75" s="71">
        <v>45346</v>
      </c>
      <c r="AD75" s="38"/>
      <c r="AE75" s="71">
        <v>45348</v>
      </c>
      <c r="AF75" s="15"/>
      <c r="AG75" s="15"/>
      <c r="AH75" s="15"/>
      <c r="AI75" s="15"/>
      <c r="AJ75" s="15"/>
      <c r="AK75" s="15"/>
      <c r="AL75" s="15"/>
      <c r="AM75" s="15"/>
      <c r="AN75" s="15"/>
      <c r="AO75" s="15"/>
      <c r="AP75" s="15"/>
    </row>
    <row r="76" spans="1:44" s="30" customFormat="1" ht="18" hidden="1" customHeight="1" x14ac:dyDescent="0.25">
      <c r="A76" s="21" t="s">
        <v>529</v>
      </c>
      <c r="B76" s="22">
        <v>25548</v>
      </c>
      <c r="C76" s="23">
        <v>54000</v>
      </c>
      <c r="D76" s="22" t="s">
        <v>249</v>
      </c>
      <c r="E76" s="22" t="s">
        <v>530</v>
      </c>
      <c r="F76" s="22" t="s">
        <v>531</v>
      </c>
      <c r="G76" s="22"/>
      <c r="H76" s="22" t="s">
        <v>60</v>
      </c>
      <c r="I76" s="24"/>
      <c r="J76" s="22" t="s">
        <v>53</v>
      </c>
      <c r="K76" s="22"/>
      <c r="L76" s="25">
        <v>45338</v>
      </c>
      <c r="M76" s="25"/>
      <c r="N76" s="22"/>
      <c r="O76" s="26">
        <v>0</v>
      </c>
      <c r="P76" s="22"/>
      <c r="Q76" s="27">
        <v>0</v>
      </c>
      <c r="R76" s="27"/>
      <c r="S76" s="27"/>
      <c r="T76" s="25">
        <v>45345</v>
      </c>
      <c r="U76" s="28" t="s">
        <v>66</v>
      </c>
      <c r="V76" s="91">
        <v>45348</v>
      </c>
      <c r="W76" s="24" t="s">
        <v>45</v>
      </c>
      <c r="X76" s="29">
        <v>33034</v>
      </c>
      <c r="Y76" s="24" t="s">
        <v>215</v>
      </c>
      <c r="Z76" s="24"/>
      <c r="AA76" s="78"/>
      <c r="AB76" s="78"/>
      <c r="AC76" s="78"/>
      <c r="AD76" s="48"/>
      <c r="AE76" s="112" t="s">
        <v>378</v>
      </c>
      <c r="AF76" s="15"/>
      <c r="AG76" s="15"/>
      <c r="AH76" s="15"/>
      <c r="AI76" s="15"/>
      <c r="AJ76" s="15"/>
      <c r="AK76" s="15"/>
      <c r="AL76" s="15"/>
      <c r="AM76" s="15"/>
      <c r="AN76" s="15"/>
      <c r="AO76" s="15"/>
      <c r="AP76" s="15"/>
    </row>
    <row r="77" spans="1:44" s="30" customFormat="1" ht="18" hidden="1" customHeight="1" x14ac:dyDescent="0.25">
      <c r="A77" s="21" t="s">
        <v>263</v>
      </c>
      <c r="B77" s="22">
        <v>24471</v>
      </c>
      <c r="C77" s="23">
        <v>40000</v>
      </c>
      <c r="D77" s="22" t="s">
        <v>249</v>
      </c>
      <c r="E77" s="22" t="s">
        <v>332</v>
      </c>
      <c r="F77" s="22"/>
      <c r="G77" s="22"/>
      <c r="H77" s="24" t="s">
        <v>37</v>
      </c>
      <c r="I77" s="90" t="s">
        <v>266</v>
      </c>
      <c r="J77" s="90" t="s">
        <v>62</v>
      </c>
      <c r="K77" s="90"/>
      <c r="L77" s="25">
        <v>45348</v>
      </c>
      <c r="M77" s="25"/>
      <c r="N77" s="22" t="s">
        <v>333</v>
      </c>
      <c r="O77" s="26">
        <v>2820</v>
      </c>
      <c r="P77" s="22" t="s">
        <v>80</v>
      </c>
      <c r="Q77" s="27">
        <f>+O77/C77</f>
        <v>7.0499999999999993E-2</v>
      </c>
      <c r="R77" s="217"/>
      <c r="S77" s="27"/>
      <c r="T77" s="24"/>
      <c r="U77" s="28" t="s">
        <v>66</v>
      </c>
      <c r="V77" s="91">
        <v>45349</v>
      </c>
      <c r="W77" s="24" t="s">
        <v>358</v>
      </c>
      <c r="X77" s="29">
        <v>65200</v>
      </c>
      <c r="Y77" s="24" t="s">
        <v>215</v>
      </c>
      <c r="Z77" s="24"/>
      <c r="AA77" s="78"/>
      <c r="AB77" s="78"/>
      <c r="AC77" s="7">
        <v>45345</v>
      </c>
      <c r="AD77" s="6"/>
      <c r="AE77" s="71">
        <v>45350</v>
      </c>
      <c r="AF77" s="15"/>
      <c r="AG77" s="15"/>
      <c r="AH77" s="15"/>
      <c r="AI77" s="15"/>
      <c r="AJ77" s="15"/>
      <c r="AK77" s="15"/>
      <c r="AL77" s="15"/>
      <c r="AM77" s="15"/>
      <c r="AN77" s="15"/>
      <c r="AO77" s="15"/>
      <c r="AP77" s="15"/>
      <c r="AQ77" s="15"/>
    </row>
    <row r="78" spans="1:44" s="30" customFormat="1" ht="18" hidden="1" customHeight="1" x14ac:dyDescent="0.25">
      <c r="A78" s="21" t="s">
        <v>532</v>
      </c>
      <c r="B78" s="22">
        <v>25461</v>
      </c>
      <c r="C78" s="23">
        <v>20000</v>
      </c>
      <c r="D78" s="22">
        <v>10</v>
      </c>
      <c r="E78" s="22" t="s">
        <v>533</v>
      </c>
      <c r="F78" s="22"/>
      <c r="G78" s="22"/>
      <c r="H78" s="24" t="s">
        <v>164</v>
      </c>
      <c r="I78" s="24" t="s">
        <v>276</v>
      </c>
      <c r="J78" s="24" t="s">
        <v>62</v>
      </c>
      <c r="K78" s="24"/>
      <c r="L78" s="25">
        <v>45342</v>
      </c>
      <c r="M78" s="25"/>
      <c r="N78" s="22" t="s">
        <v>333</v>
      </c>
      <c r="O78" s="26">
        <v>3900</v>
      </c>
      <c r="P78" s="22" t="s">
        <v>80</v>
      </c>
      <c r="Q78" s="27">
        <f>+O78/C78</f>
        <v>0.19500000000000001</v>
      </c>
      <c r="R78" s="217"/>
      <c r="S78" s="27"/>
      <c r="T78" s="24"/>
      <c r="U78" s="28" t="s">
        <v>66</v>
      </c>
      <c r="V78" s="91">
        <v>45349</v>
      </c>
      <c r="W78" s="24" t="s">
        <v>45</v>
      </c>
      <c r="X78" s="29">
        <v>28000</v>
      </c>
      <c r="Y78" s="24" t="s">
        <v>215</v>
      </c>
      <c r="Z78" s="24"/>
      <c r="AA78" s="78"/>
      <c r="AB78" s="78"/>
      <c r="AC78" s="7">
        <v>45347</v>
      </c>
      <c r="AD78" s="38"/>
      <c r="AE78" s="71">
        <v>45350</v>
      </c>
      <c r="AF78" s="15"/>
      <c r="AG78" s="15"/>
      <c r="AH78" s="15"/>
      <c r="AI78" s="15"/>
      <c r="AJ78" s="15"/>
      <c r="AK78" s="15"/>
      <c r="AL78" s="15"/>
      <c r="AM78" s="15"/>
      <c r="AN78" s="15"/>
      <c r="AO78" s="15"/>
      <c r="AP78" s="15"/>
      <c r="AQ78" s="15"/>
    </row>
    <row r="79" spans="1:44" s="30" customFormat="1" ht="18" hidden="1" customHeight="1" x14ac:dyDescent="0.25">
      <c r="A79" s="21" t="s">
        <v>251</v>
      </c>
      <c r="B79" s="22">
        <v>24181</v>
      </c>
      <c r="C79" s="23">
        <v>40000</v>
      </c>
      <c r="D79" s="22" t="s">
        <v>249</v>
      </c>
      <c r="E79" s="22" t="s">
        <v>534</v>
      </c>
      <c r="F79" s="22"/>
      <c r="G79" s="22"/>
      <c r="H79" s="24" t="s">
        <v>37</v>
      </c>
      <c r="I79" s="24" t="s">
        <v>499</v>
      </c>
      <c r="J79" s="24" t="s">
        <v>62</v>
      </c>
      <c r="K79" s="24"/>
      <c r="L79" s="25">
        <v>45341</v>
      </c>
      <c r="M79" s="25"/>
      <c r="N79" s="22" t="s">
        <v>458</v>
      </c>
      <c r="O79" s="205">
        <v>6200</v>
      </c>
      <c r="P79" s="22" t="s">
        <v>80</v>
      </c>
      <c r="Q79" s="27">
        <f>+O79/C79</f>
        <v>0.155</v>
      </c>
      <c r="R79" s="217"/>
      <c r="S79" s="27"/>
      <c r="T79" s="24"/>
      <c r="U79" s="28" t="s">
        <v>66</v>
      </c>
      <c r="V79" s="91">
        <v>45351</v>
      </c>
      <c r="W79" s="24" t="s">
        <v>45</v>
      </c>
      <c r="X79" s="29">
        <v>80000</v>
      </c>
      <c r="Y79" s="24" t="s">
        <v>215</v>
      </c>
      <c r="Z79" s="24"/>
      <c r="AA79" s="78"/>
      <c r="AB79" s="78"/>
      <c r="AC79" s="7">
        <v>45345</v>
      </c>
      <c r="AD79" s="43" t="s">
        <v>535</v>
      </c>
      <c r="AE79" s="71">
        <v>45351</v>
      </c>
      <c r="AF79" s="15"/>
      <c r="AG79" s="15"/>
      <c r="AH79" s="15"/>
      <c r="AI79" s="15"/>
      <c r="AJ79" s="15"/>
      <c r="AK79" s="15"/>
      <c r="AL79" s="15"/>
      <c r="AM79" s="15"/>
      <c r="AN79" s="15"/>
      <c r="AO79" s="15"/>
      <c r="AP79" s="15"/>
      <c r="AQ79" s="15"/>
    </row>
    <row r="80" spans="1:44" ht="18" hidden="1" customHeight="1" x14ac:dyDescent="0.25">
      <c r="A80" s="230" t="s">
        <v>536</v>
      </c>
      <c r="B80" s="98">
        <v>25638</v>
      </c>
      <c r="C80" s="99"/>
      <c r="D80" s="100" t="s">
        <v>249</v>
      </c>
      <c r="E80" s="101" t="s">
        <v>537</v>
      </c>
      <c r="F80" s="100"/>
      <c r="G80" s="100"/>
      <c r="H80" s="108"/>
      <c r="I80" s="108" t="s">
        <v>538</v>
      </c>
      <c r="J80" s="108" t="s">
        <v>53</v>
      </c>
      <c r="K80" s="108"/>
      <c r="L80" s="102">
        <v>45351</v>
      </c>
      <c r="M80" s="103"/>
      <c r="N80" s="98" t="s">
        <v>357</v>
      </c>
      <c r="O80" s="105">
        <v>2720</v>
      </c>
      <c r="P80" s="98" t="s">
        <v>80</v>
      </c>
      <c r="Q80" s="123"/>
      <c r="R80" s="102"/>
      <c r="S80" s="123"/>
      <c r="T80" s="102"/>
      <c r="U80" s="100" t="s">
        <v>539</v>
      </c>
      <c r="V80" s="102"/>
      <c r="W80" s="107" t="s">
        <v>540</v>
      </c>
      <c r="X80" s="50">
        <v>26760</v>
      </c>
      <c r="Y80" s="108" t="s">
        <v>215</v>
      </c>
      <c r="Z80" s="108"/>
      <c r="AA80" s="78"/>
      <c r="AB80" s="78"/>
      <c r="AC80" s="78"/>
      <c r="AD80" s="79"/>
      <c r="AE80" s="71">
        <v>45362</v>
      </c>
    </row>
    <row r="81" spans="1:44" ht="18" hidden="1" customHeight="1" x14ac:dyDescent="0.25">
      <c r="A81" s="113" t="s">
        <v>175</v>
      </c>
      <c r="B81" s="6">
        <v>24170</v>
      </c>
      <c r="C81" s="5">
        <v>44000</v>
      </c>
      <c r="D81" s="6" t="s">
        <v>105</v>
      </c>
      <c r="E81" s="116" t="s">
        <v>176</v>
      </c>
      <c r="F81" s="4" t="s">
        <v>541</v>
      </c>
      <c r="G81" s="67" t="s">
        <v>345</v>
      </c>
      <c r="H81" s="6" t="s">
        <v>51</v>
      </c>
      <c r="I81" s="6"/>
      <c r="J81" s="6" t="s">
        <v>75</v>
      </c>
      <c r="K81" s="6"/>
      <c r="L81" s="7">
        <v>45273</v>
      </c>
      <c r="M81" s="11"/>
      <c r="N81" s="73" t="s">
        <v>40</v>
      </c>
      <c r="O81" s="118">
        <v>575</v>
      </c>
      <c r="P81" s="73" t="s">
        <v>80</v>
      </c>
      <c r="Q81" s="119">
        <f>+O81/C81</f>
        <v>1.3068181818181817E-2</v>
      </c>
      <c r="R81" s="7">
        <v>45312</v>
      </c>
      <c r="S81" s="75" t="s">
        <v>65</v>
      </c>
      <c r="T81" s="7">
        <v>45352</v>
      </c>
      <c r="U81" s="6" t="s">
        <v>76</v>
      </c>
      <c r="V81" s="71">
        <v>45355</v>
      </c>
      <c r="W81" s="10" t="s">
        <v>45</v>
      </c>
      <c r="X81" s="114">
        <v>29200</v>
      </c>
      <c r="Y81" s="70" t="s">
        <v>341</v>
      </c>
      <c r="Z81" s="70"/>
      <c r="AA81" s="63"/>
      <c r="AB81" s="7">
        <v>45320</v>
      </c>
      <c r="AC81" s="7">
        <v>45351</v>
      </c>
      <c r="AD81" s="96"/>
      <c r="AE81" s="71">
        <v>45365</v>
      </c>
    </row>
    <row r="82" spans="1:44" s="30" customFormat="1" ht="18" hidden="1" customHeight="1" x14ac:dyDescent="0.25">
      <c r="A82" s="21" t="s">
        <v>259</v>
      </c>
      <c r="B82" s="22">
        <v>24551</v>
      </c>
      <c r="C82" s="23">
        <v>40500</v>
      </c>
      <c r="D82" s="22" t="s">
        <v>249</v>
      </c>
      <c r="E82" s="22" t="s">
        <v>260</v>
      </c>
      <c r="F82" s="22"/>
      <c r="G82" s="22"/>
      <c r="H82" s="24" t="s">
        <v>37</v>
      </c>
      <c r="I82" s="24" t="s">
        <v>261</v>
      </c>
      <c r="J82" s="24" t="s">
        <v>53</v>
      </c>
      <c r="K82" s="24"/>
      <c r="L82" s="25">
        <v>45352</v>
      </c>
      <c r="M82" s="25"/>
      <c r="N82" s="22"/>
      <c r="O82" s="26"/>
      <c r="P82" s="22"/>
      <c r="Q82" s="27"/>
      <c r="R82" s="217"/>
      <c r="S82" s="27"/>
      <c r="T82" s="24"/>
      <c r="U82" s="28" t="s">
        <v>66</v>
      </c>
      <c r="V82" s="25">
        <v>45352</v>
      </c>
      <c r="W82" s="24" t="s">
        <v>45</v>
      </c>
      <c r="X82" s="29">
        <v>55485</v>
      </c>
      <c r="Y82" s="24" t="s">
        <v>215</v>
      </c>
      <c r="Z82" s="24"/>
      <c r="AA82" s="78"/>
      <c r="AB82" s="78"/>
      <c r="AC82" s="78"/>
      <c r="AD82" s="6" t="s">
        <v>542</v>
      </c>
      <c r="AE82" s="71">
        <v>45352</v>
      </c>
      <c r="AF82" s="15"/>
      <c r="AG82" s="15"/>
      <c r="AH82" s="15"/>
      <c r="AI82" s="15"/>
      <c r="AJ82" s="15"/>
      <c r="AK82" s="15"/>
      <c r="AL82" s="15"/>
      <c r="AM82" s="15"/>
      <c r="AN82" s="15"/>
      <c r="AO82" s="15"/>
      <c r="AP82" s="15"/>
      <c r="AQ82" s="15"/>
      <c r="AR82" s="15"/>
    </row>
    <row r="83" spans="1:44" ht="18" hidden="1" customHeight="1" x14ac:dyDescent="0.25">
      <c r="A83" s="121" t="s">
        <v>543</v>
      </c>
      <c r="B83" s="73">
        <v>24722</v>
      </c>
      <c r="C83" s="68">
        <v>55000</v>
      </c>
      <c r="D83" s="67" t="s">
        <v>48</v>
      </c>
      <c r="E83" s="117" t="s">
        <v>544</v>
      </c>
      <c r="F83" s="4" t="s">
        <v>545</v>
      </c>
      <c r="G83" s="67" t="s">
        <v>108</v>
      </c>
      <c r="H83" s="67" t="s">
        <v>51</v>
      </c>
      <c r="I83" s="67"/>
      <c r="J83" s="67" t="s">
        <v>171</v>
      </c>
      <c r="K83" s="67"/>
      <c r="L83" s="7">
        <v>45312</v>
      </c>
      <c r="M83" s="127"/>
      <c r="N83" s="130" t="s">
        <v>40</v>
      </c>
      <c r="O83" s="131">
        <v>575</v>
      </c>
      <c r="P83" s="130" t="s">
        <v>80</v>
      </c>
      <c r="Q83" s="132">
        <f>+O83/C83</f>
        <v>1.0454545454545454E-2</v>
      </c>
      <c r="R83" s="158"/>
      <c r="S83" s="132"/>
      <c r="T83" s="7">
        <v>45350</v>
      </c>
      <c r="U83" s="67" t="s">
        <v>43</v>
      </c>
      <c r="V83" s="71">
        <v>45352</v>
      </c>
      <c r="W83" s="10" t="s">
        <v>45</v>
      </c>
      <c r="X83" s="114">
        <f>312600-66870</f>
        <v>245730</v>
      </c>
      <c r="Y83" s="70" t="s">
        <v>341</v>
      </c>
      <c r="Z83" s="70"/>
      <c r="AA83" s="78"/>
      <c r="AB83" s="71">
        <v>45349</v>
      </c>
      <c r="AC83" s="7">
        <v>45352</v>
      </c>
      <c r="AD83" s="96"/>
      <c r="AE83" s="71">
        <v>45365</v>
      </c>
    </row>
    <row r="84" spans="1:44" s="30" customFormat="1" ht="18" hidden="1" customHeight="1" x14ac:dyDescent="0.25">
      <c r="A84" s="109" t="s">
        <v>546</v>
      </c>
      <c r="B84" s="22">
        <v>25466</v>
      </c>
      <c r="C84" s="23">
        <v>57310</v>
      </c>
      <c r="D84" s="22" t="s">
        <v>249</v>
      </c>
      <c r="E84" s="22" t="s">
        <v>547</v>
      </c>
      <c r="F84" s="22" t="s">
        <v>548</v>
      </c>
      <c r="G84" s="22"/>
      <c r="H84" s="22" t="s">
        <v>60</v>
      </c>
      <c r="I84" s="24"/>
      <c r="J84" s="22" t="s">
        <v>53</v>
      </c>
      <c r="K84" s="22"/>
      <c r="L84" s="25">
        <v>45343</v>
      </c>
      <c r="M84" s="25"/>
      <c r="N84" s="22"/>
      <c r="O84" s="26"/>
      <c r="P84" s="22"/>
      <c r="Q84" s="27"/>
      <c r="R84" s="217"/>
      <c r="S84" s="27"/>
      <c r="T84" s="25">
        <v>45343</v>
      </c>
      <c r="U84" s="28" t="s">
        <v>66</v>
      </c>
      <c r="V84" s="91">
        <v>45352</v>
      </c>
      <c r="W84" s="24" t="s">
        <v>358</v>
      </c>
      <c r="X84" s="29">
        <v>25110</v>
      </c>
      <c r="Y84" s="24" t="s">
        <v>215</v>
      </c>
      <c r="Z84" s="24"/>
      <c r="AA84" s="78"/>
      <c r="AB84" s="78"/>
      <c r="AC84" s="78"/>
      <c r="AD84" s="38"/>
      <c r="AE84" s="112" t="s">
        <v>378</v>
      </c>
      <c r="AF84" s="15"/>
      <c r="AG84" s="15"/>
      <c r="AH84" s="15"/>
      <c r="AI84" s="15"/>
      <c r="AJ84" s="15"/>
      <c r="AK84" s="15"/>
      <c r="AL84" s="15"/>
      <c r="AM84" s="15"/>
      <c r="AN84" s="15"/>
      <c r="AO84" s="15"/>
      <c r="AP84" s="15"/>
      <c r="AQ84" s="15"/>
    </row>
    <row r="85" spans="1:44" ht="18" hidden="1" customHeight="1" x14ac:dyDescent="0.25">
      <c r="A85" s="113" t="s">
        <v>549</v>
      </c>
      <c r="B85" s="6">
        <v>24308</v>
      </c>
      <c r="C85" s="5">
        <v>44000</v>
      </c>
      <c r="D85" s="6" t="s">
        <v>105</v>
      </c>
      <c r="E85" s="116" t="s">
        <v>550</v>
      </c>
      <c r="F85" s="4" t="s">
        <v>551</v>
      </c>
      <c r="G85" s="67" t="s">
        <v>108</v>
      </c>
      <c r="H85" s="6" t="s">
        <v>51</v>
      </c>
      <c r="I85" s="6"/>
      <c r="J85" s="6" t="s">
        <v>171</v>
      </c>
      <c r="K85" s="6"/>
      <c r="L85" s="71">
        <v>45274</v>
      </c>
      <c r="M85" s="11"/>
      <c r="N85" s="6" t="s">
        <v>40</v>
      </c>
      <c r="O85" s="13">
        <v>575</v>
      </c>
      <c r="P85" s="6" t="s">
        <v>80</v>
      </c>
      <c r="Q85" s="41">
        <f>+O85/C85</f>
        <v>1.3068181818181817E-2</v>
      </c>
      <c r="R85" s="7"/>
      <c r="S85" s="41"/>
      <c r="T85" s="7">
        <v>45350</v>
      </c>
      <c r="U85" s="6" t="s">
        <v>43</v>
      </c>
      <c r="V85" s="71">
        <v>45352</v>
      </c>
      <c r="W85" s="76" t="s">
        <v>45</v>
      </c>
      <c r="X85" s="114">
        <v>17850</v>
      </c>
      <c r="Y85" s="11" t="s">
        <v>341</v>
      </c>
      <c r="Z85" s="11"/>
      <c r="AA85" s="63"/>
      <c r="AB85" s="71">
        <v>45349</v>
      </c>
      <c r="AC85" s="7">
        <v>45352</v>
      </c>
      <c r="AD85" s="79"/>
      <c r="AE85" s="71">
        <v>45365</v>
      </c>
    </row>
    <row r="86" spans="1:44" s="15" customFormat="1" ht="18" hidden="1" customHeight="1" x14ac:dyDescent="0.25">
      <c r="A86" s="16" t="s">
        <v>241</v>
      </c>
      <c r="B86" s="6">
        <v>24485</v>
      </c>
      <c r="C86" s="5">
        <v>55000</v>
      </c>
      <c r="D86" s="6" t="s">
        <v>48</v>
      </c>
      <c r="E86" s="6" t="s">
        <v>552</v>
      </c>
      <c r="F86" s="67" t="s">
        <v>553</v>
      </c>
      <c r="G86" s="6" t="s">
        <v>119</v>
      </c>
      <c r="H86" s="6" t="s">
        <v>109</v>
      </c>
      <c r="I86" s="6"/>
      <c r="J86" s="6" t="s">
        <v>75</v>
      </c>
      <c r="K86" s="6"/>
      <c r="L86" s="7">
        <v>45308</v>
      </c>
      <c r="M86" s="7"/>
      <c r="N86" s="6" t="s">
        <v>40</v>
      </c>
      <c r="O86" s="13">
        <v>575</v>
      </c>
      <c r="P86" s="6" t="s">
        <v>80</v>
      </c>
      <c r="Q86" s="41">
        <f>+O86/C86</f>
        <v>1.0454545454545454E-2</v>
      </c>
      <c r="R86" s="7">
        <v>45343</v>
      </c>
      <c r="S86" s="41" t="s">
        <v>65</v>
      </c>
      <c r="T86" s="7">
        <v>45353</v>
      </c>
      <c r="U86" s="17" t="s">
        <v>178</v>
      </c>
      <c r="V86" s="71">
        <v>45356</v>
      </c>
      <c r="W86" s="10" t="s">
        <v>45</v>
      </c>
      <c r="X86" s="114">
        <v>50000</v>
      </c>
      <c r="Y86" s="11" t="s">
        <v>341</v>
      </c>
      <c r="Z86" s="11"/>
      <c r="AA86" s="78"/>
      <c r="AB86" s="7">
        <v>45352</v>
      </c>
      <c r="AC86" s="7">
        <v>45353</v>
      </c>
      <c r="AD86" s="38"/>
      <c r="AE86" s="71">
        <v>45365</v>
      </c>
    </row>
    <row r="87" spans="1:44" s="15" customFormat="1" ht="18" hidden="1" customHeight="1" x14ac:dyDescent="0.25">
      <c r="A87" s="16" t="s">
        <v>511</v>
      </c>
      <c r="B87" s="6">
        <v>24590</v>
      </c>
      <c r="C87" s="5">
        <v>44000</v>
      </c>
      <c r="D87" s="45" t="s">
        <v>105</v>
      </c>
      <c r="E87" s="6" t="s">
        <v>258</v>
      </c>
      <c r="F87" s="67" t="s">
        <v>554</v>
      </c>
      <c r="G87" s="67" t="s">
        <v>36</v>
      </c>
      <c r="H87" s="8" t="s">
        <v>37</v>
      </c>
      <c r="I87" s="8" t="s">
        <v>97</v>
      </c>
      <c r="J87" s="8" t="s">
        <v>98</v>
      </c>
      <c r="K87" s="393"/>
      <c r="L87" s="65">
        <v>45328</v>
      </c>
      <c r="M87" s="7" t="s">
        <v>99</v>
      </c>
      <c r="N87" s="130" t="s">
        <v>40</v>
      </c>
      <c r="O87" s="13">
        <f>1735+400</f>
        <v>2135</v>
      </c>
      <c r="P87" s="6" t="s">
        <v>41</v>
      </c>
      <c r="Q87" s="36">
        <f>+O87/C87</f>
        <v>4.8522727272727273E-2</v>
      </c>
      <c r="R87" s="10"/>
      <c r="S87" s="17"/>
      <c r="T87" s="7">
        <v>45352</v>
      </c>
      <c r="U87" s="17" t="s">
        <v>43</v>
      </c>
      <c r="V87" s="71">
        <v>45357</v>
      </c>
      <c r="W87" s="10" t="s">
        <v>45</v>
      </c>
      <c r="X87" s="114">
        <v>52000</v>
      </c>
      <c r="Y87" s="11" t="s">
        <v>68</v>
      </c>
      <c r="Z87" s="11"/>
      <c r="AA87" s="7">
        <v>45356</v>
      </c>
      <c r="AB87" s="7">
        <v>45356</v>
      </c>
      <c r="AC87" s="7">
        <v>45352</v>
      </c>
      <c r="AD87" s="7"/>
      <c r="AE87" s="71">
        <v>45364</v>
      </c>
    </row>
    <row r="88" spans="1:44" s="2" customFormat="1" ht="20.25" hidden="1" customHeight="1" x14ac:dyDescent="0.25">
      <c r="A88" s="86" t="s">
        <v>555</v>
      </c>
      <c r="B88" s="87">
        <v>25736</v>
      </c>
      <c r="C88" s="88">
        <v>21208</v>
      </c>
      <c r="D88" s="87">
        <v>15</v>
      </c>
      <c r="E88" s="89" t="s">
        <v>556</v>
      </c>
      <c r="F88" s="87"/>
      <c r="G88" s="87"/>
      <c r="H88" s="87" t="s">
        <v>60</v>
      </c>
      <c r="I88" s="87"/>
      <c r="J88" s="87"/>
      <c r="K88" s="87"/>
      <c r="L88" s="91"/>
      <c r="M88" s="91"/>
      <c r="N88" s="87"/>
      <c r="O88" s="92"/>
      <c r="P88" s="87"/>
      <c r="Q88" s="93"/>
      <c r="R88" s="91"/>
      <c r="S88" s="93"/>
      <c r="T88" s="91"/>
      <c r="U88" s="94"/>
      <c r="V88" s="91">
        <v>45358</v>
      </c>
      <c r="W88" s="90" t="s">
        <v>358</v>
      </c>
      <c r="X88" s="95">
        <v>19723</v>
      </c>
      <c r="Y88" s="24" t="s">
        <v>215</v>
      </c>
      <c r="Z88" s="24"/>
      <c r="AA88" s="78"/>
      <c r="AB88" s="78"/>
      <c r="AC88" s="71">
        <v>45357</v>
      </c>
      <c r="AD88" s="96"/>
      <c r="AE88" s="7" t="s">
        <v>378</v>
      </c>
    </row>
    <row r="89" spans="1:44" ht="18" hidden="1" customHeight="1" x14ac:dyDescent="0.25">
      <c r="A89" s="97" t="s">
        <v>557</v>
      </c>
      <c r="B89" s="98">
        <v>23647</v>
      </c>
      <c r="C89" s="99">
        <v>35000</v>
      </c>
      <c r="D89" s="100" t="s">
        <v>105</v>
      </c>
      <c r="E89" s="101" t="s">
        <v>558</v>
      </c>
      <c r="F89" s="100" t="s">
        <v>559</v>
      </c>
      <c r="G89" s="100" t="s">
        <v>345</v>
      </c>
      <c r="H89" s="108" t="s">
        <v>51</v>
      </c>
      <c r="I89" s="108"/>
      <c r="J89" s="108" t="s">
        <v>120</v>
      </c>
      <c r="K89" s="108"/>
      <c r="L89" s="102">
        <v>45306</v>
      </c>
      <c r="M89" s="103"/>
      <c r="N89" s="98" t="s">
        <v>40</v>
      </c>
      <c r="O89" s="105">
        <v>575</v>
      </c>
      <c r="P89" s="98" t="s">
        <v>80</v>
      </c>
      <c r="Q89" s="123">
        <f t="shared" ref="Q89:Q94" si="2">+O89/C89</f>
        <v>1.6428571428571428E-2</v>
      </c>
      <c r="R89" s="102">
        <v>45346</v>
      </c>
      <c r="S89" s="123" t="s">
        <v>65</v>
      </c>
      <c r="T89" s="102">
        <v>45357</v>
      </c>
      <c r="U89" s="100" t="s">
        <v>76</v>
      </c>
      <c r="V89" s="102">
        <v>45359</v>
      </c>
      <c r="W89" s="107" t="s">
        <v>45</v>
      </c>
      <c r="X89" s="62">
        <f>77935-7630-1000</f>
        <v>69305</v>
      </c>
      <c r="Y89" s="108" t="s">
        <v>341</v>
      </c>
      <c r="Z89" s="108"/>
      <c r="AA89" s="78"/>
      <c r="AB89" s="71">
        <v>45359</v>
      </c>
      <c r="AC89" s="71">
        <v>45357</v>
      </c>
      <c r="AD89" s="79"/>
      <c r="AE89" s="71">
        <v>45365</v>
      </c>
    </row>
    <row r="90" spans="1:44" s="30" customFormat="1" ht="18" hidden="1" customHeight="1" x14ac:dyDescent="0.25">
      <c r="A90" s="109" t="s">
        <v>560</v>
      </c>
      <c r="B90" s="22">
        <v>25591</v>
      </c>
      <c r="C90" s="23">
        <v>11100</v>
      </c>
      <c r="D90" s="22">
        <v>6</v>
      </c>
      <c r="E90" s="22" t="s">
        <v>561</v>
      </c>
      <c r="F90" s="22"/>
      <c r="G90" s="22"/>
      <c r="H90" s="90" t="s">
        <v>37</v>
      </c>
      <c r="I90" s="90" t="s">
        <v>437</v>
      </c>
      <c r="J90" s="90" t="s">
        <v>62</v>
      </c>
      <c r="K90" s="90"/>
      <c r="L90" s="25">
        <v>45356</v>
      </c>
      <c r="M90" s="25"/>
      <c r="N90" s="22" t="s">
        <v>357</v>
      </c>
      <c r="O90" s="26">
        <v>1395</v>
      </c>
      <c r="P90" s="22" t="s">
        <v>80</v>
      </c>
      <c r="Q90" s="27">
        <f t="shared" si="2"/>
        <v>0.12567567567567567</v>
      </c>
      <c r="R90" s="217"/>
      <c r="S90" s="27"/>
      <c r="T90" s="24"/>
      <c r="U90" s="28"/>
      <c r="V90" s="91">
        <v>45362</v>
      </c>
      <c r="W90" s="24" t="s">
        <v>45</v>
      </c>
      <c r="X90" s="29">
        <v>19963</v>
      </c>
      <c r="Y90" s="24" t="s">
        <v>215</v>
      </c>
      <c r="Z90" s="24"/>
      <c r="AA90" s="78"/>
      <c r="AB90" s="78"/>
      <c r="AC90" s="7">
        <v>45356</v>
      </c>
      <c r="AD90" s="38"/>
      <c r="AE90" s="71">
        <v>45362</v>
      </c>
      <c r="AF90" s="15"/>
      <c r="AG90" s="15"/>
      <c r="AH90" s="15"/>
      <c r="AI90" s="15"/>
      <c r="AJ90" s="15"/>
      <c r="AK90" s="15"/>
      <c r="AL90" s="15"/>
      <c r="AM90" s="15"/>
      <c r="AN90" s="15"/>
      <c r="AO90" s="15"/>
      <c r="AP90" s="15"/>
      <c r="AQ90" s="15"/>
    </row>
    <row r="91" spans="1:44" s="30" customFormat="1" ht="18.75" hidden="1" customHeight="1" x14ac:dyDescent="0.25">
      <c r="A91" s="21" t="s">
        <v>450</v>
      </c>
      <c r="B91" s="22">
        <v>25550</v>
      </c>
      <c r="C91" s="23">
        <v>40000</v>
      </c>
      <c r="D91" s="22" t="s">
        <v>249</v>
      </c>
      <c r="E91" s="22" t="s">
        <v>451</v>
      </c>
      <c r="F91" s="22"/>
      <c r="G91" s="22"/>
      <c r="H91" s="24" t="s">
        <v>37</v>
      </c>
      <c r="I91" s="24" t="s">
        <v>452</v>
      </c>
      <c r="J91" s="24" t="s">
        <v>53</v>
      </c>
      <c r="K91" s="24"/>
      <c r="L91" s="25">
        <v>45362</v>
      </c>
      <c r="M91" s="25"/>
      <c r="N91" s="22" t="s">
        <v>45</v>
      </c>
      <c r="O91" s="26">
        <v>0</v>
      </c>
      <c r="P91" s="22"/>
      <c r="Q91" s="27">
        <f t="shared" si="2"/>
        <v>0</v>
      </c>
      <c r="R91" s="27"/>
      <c r="S91" s="27"/>
      <c r="T91" s="24"/>
      <c r="U91" s="28" t="s">
        <v>66</v>
      </c>
      <c r="V91" s="91" t="s">
        <v>562</v>
      </c>
      <c r="W91" s="24" t="s">
        <v>45</v>
      </c>
      <c r="X91" s="29">
        <v>87200</v>
      </c>
      <c r="Y91" s="24" t="s">
        <v>215</v>
      </c>
      <c r="Z91" s="24"/>
      <c r="AA91" s="78"/>
      <c r="AB91" s="78"/>
      <c r="AC91" s="78"/>
      <c r="AD91" s="43"/>
      <c r="AE91" s="7" t="s">
        <v>378</v>
      </c>
      <c r="AF91" s="15"/>
      <c r="AG91" s="15"/>
      <c r="AH91" s="15"/>
      <c r="AI91" s="15"/>
      <c r="AJ91" s="15"/>
      <c r="AK91" s="15"/>
      <c r="AL91" s="15"/>
      <c r="AM91" s="15"/>
      <c r="AN91" s="15"/>
      <c r="AO91" s="15"/>
      <c r="AP91" s="15"/>
    </row>
    <row r="92" spans="1:44" s="2" customFormat="1" ht="18" hidden="1" customHeight="1" x14ac:dyDescent="0.25">
      <c r="A92" s="226" t="s">
        <v>424</v>
      </c>
      <c r="B92" s="4">
        <v>25297</v>
      </c>
      <c r="C92" s="5">
        <v>45100</v>
      </c>
      <c r="D92" s="4" t="s">
        <v>105</v>
      </c>
      <c r="E92" s="12" t="s">
        <v>563</v>
      </c>
      <c r="F92" s="4" t="s">
        <v>564</v>
      </c>
      <c r="G92" s="4" t="s">
        <v>108</v>
      </c>
      <c r="H92" s="4" t="s">
        <v>109</v>
      </c>
      <c r="I92" s="4"/>
      <c r="J92" s="4" t="s">
        <v>171</v>
      </c>
      <c r="K92" s="4"/>
      <c r="L92" s="7">
        <v>45326</v>
      </c>
      <c r="M92" s="8"/>
      <c r="N92" s="4" t="s">
        <v>40</v>
      </c>
      <c r="O92" s="14">
        <v>575</v>
      </c>
      <c r="P92" s="4" t="s">
        <v>80</v>
      </c>
      <c r="Q92" s="41">
        <f t="shared" si="2"/>
        <v>1.2749445676274944E-2</v>
      </c>
      <c r="R92" s="4"/>
      <c r="S92" s="4"/>
      <c r="T92" s="7">
        <v>45363</v>
      </c>
      <c r="U92" s="6" t="s">
        <v>43</v>
      </c>
      <c r="V92" s="71" t="s">
        <v>562</v>
      </c>
      <c r="W92" s="10" t="s">
        <v>45</v>
      </c>
      <c r="X92" s="114">
        <v>61500</v>
      </c>
      <c r="Y92" s="8" t="s">
        <v>341</v>
      </c>
      <c r="Z92" s="8"/>
      <c r="AA92" s="78"/>
      <c r="AB92" s="7">
        <v>45363</v>
      </c>
      <c r="AC92" s="7">
        <v>45365</v>
      </c>
      <c r="AD92" s="37"/>
      <c r="AE92" s="71">
        <v>45379</v>
      </c>
      <c r="AF92" s="15"/>
      <c r="AG92" s="15"/>
      <c r="AH92" s="15"/>
      <c r="AI92" s="15"/>
      <c r="AJ92" s="15"/>
      <c r="AK92" s="15"/>
      <c r="AL92" s="15"/>
    </row>
    <row r="93" spans="1:44" s="15" customFormat="1" ht="18" hidden="1" customHeight="1" x14ac:dyDescent="0.25">
      <c r="A93" s="209" t="s">
        <v>565</v>
      </c>
      <c r="B93" s="6">
        <v>25520</v>
      </c>
      <c r="C93" s="44">
        <v>34100</v>
      </c>
      <c r="D93" s="4" t="s">
        <v>105</v>
      </c>
      <c r="E93" s="6" t="s">
        <v>566</v>
      </c>
      <c r="F93" s="67" t="s">
        <v>567</v>
      </c>
      <c r="G93" s="67" t="s">
        <v>36</v>
      </c>
      <c r="H93" s="8" t="s">
        <v>37</v>
      </c>
      <c r="I93" s="8" t="s">
        <v>97</v>
      </c>
      <c r="J93" s="8" t="s">
        <v>98</v>
      </c>
      <c r="K93" s="8"/>
      <c r="L93" s="7">
        <v>45338</v>
      </c>
      <c r="M93" s="8" t="s">
        <v>99</v>
      </c>
      <c r="N93" s="4" t="s">
        <v>40</v>
      </c>
      <c r="O93" s="14">
        <f>1690+30+15+400</f>
        <v>2135</v>
      </c>
      <c r="P93" s="4" t="s">
        <v>41</v>
      </c>
      <c r="Q93" s="36">
        <f t="shared" si="2"/>
        <v>6.2609970674486801E-2</v>
      </c>
      <c r="R93" s="65"/>
      <c r="S93" s="161"/>
      <c r="T93" s="7">
        <v>45365</v>
      </c>
      <c r="U93" s="17" t="s">
        <v>43</v>
      </c>
      <c r="V93" s="71" t="s">
        <v>562</v>
      </c>
      <c r="W93" s="47" t="s">
        <v>45</v>
      </c>
      <c r="X93" s="114">
        <v>141365</v>
      </c>
      <c r="Y93" s="11" t="s">
        <v>68</v>
      </c>
      <c r="Z93" s="11"/>
      <c r="AA93" s="7">
        <v>45363</v>
      </c>
      <c r="AB93" s="7">
        <v>45365</v>
      </c>
      <c r="AC93" s="7">
        <v>45364</v>
      </c>
      <c r="AD93" s="38"/>
      <c r="AE93" s="71">
        <v>45366</v>
      </c>
    </row>
    <row r="94" spans="1:44" ht="18" hidden="1" customHeight="1" x14ac:dyDescent="0.25">
      <c r="A94" s="97" t="s">
        <v>289</v>
      </c>
      <c r="B94" s="98">
        <v>22162</v>
      </c>
      <c r="C94" s="99">
        <v>40000</v>
      </c>
      <c r="D94" s="100" t="s">
        <v>105</v>
      </c>
      <c r="E94" s="101" t="s">
        <v>290</v>
      </c>
      <c r="F94" s="100" t="s">
        <v>568</v>
      </c>
      <c r="G94" s="100" t="s">
        <v>36</v>
      </c>
      <c r="H94" s="108" t="s">
        <v>37</v>
      </c>
      <c r="I94" s="108" t="s">
        <v>350</v>
      </c>
      <c r="J94" s="108" t="s">
        <v>292</v>
      </c>
      <c r="K94" s="108"/>
      <c r="L94" s="102">
        <v>45326</v>
      </c>
      <c r="M94" s="103" t="s">
        <v>99</v>
      </c>
      <c r="N94" s="98"/>
      <c r="O94" s="105">
        <f>3020+30+15</f>
        <v>3065</v>
      </c>
      <c r="P94" s="98" t="s">
        <v>41</v>
      </c>
      <c r="Q94" s="123">
        <f t="shared" si="2"/>
        <v>7.6624999999999999E-2</v>
      </c>
      <c r="R94" s="102"/>
      <c r="S94" s="123"/>
      <c r="T94" s="102">
        <v>45367</v>
      </c>
      <c r="U94" s="100" t="s">
        <v>65</v>
      </c>
      <c r="V94" s="102" t="s">
        <v>569</v>
      </c>
      <c r="W94" s="107" t="s">
        <v>570</v>
      </c>
      <c r="X94" s="62">
        <v>47168</v>
      </c>
      <c r="Y94" s="108" t="s">
        <v>341</v>
      </c>
      <c r="Z94" s="108"/>
      <c r="AA94" s="78"/>
      <c r="AB94" s="71">
        <v>45365</v>
      </c>
      <c r="AC94" s="71">
        <v>45367</v>
      </c>
      <c r="AD94" s="79" t="s">
        <v>571</v>
      </c>
      <c r="AE94" s="71">
        <v>45369</v>
      </c>
    </row>
    <row r="95" spans="1:44" s="2" customFormat="1" ht="18" hidden="1" customHeight="1" x14ac:dyDescent="0.25">
      <c r="A95" s="227" t="s">
        <v>287</v>
      </c>
      <c r="B95" s="169">
        <v>25193</v>
      </c>
      <c r="C95" s="168">
        <v>17600</v>
      </c>
      <c r="D95" s="169" t="s">
        <v>33</v>
      </c>
      <c r="E95" s="207" t="s">
        <v>572</v>
      </c>
      <c r="F95" s="169" t="s">
        <v>573</v>
      </c>
      <c r="G95" s="169" t="s">
        <v>36</v>
      </c>
      <c r="H95" s="213" t="s">
        <v>37</v>
      </c>
      <c r="I95" s="199" t="s">
        <v>97</v>
      </c>
      <c r="J95" s="199" t="s">
        <v>98</v>
      </c>
      <c r="K95" s="199"/>
      <c r="L95" s="64">
        <v>45350</v>
      </c>
      <c r="M95" s="64" t="s">
        <v>99</v>
      </c>
      <c r="N95" s="167"/>
      <c r="O95" s="177">
        <f>2055+30+15+400</f>
        <v>2500</v>
      </c>
      <c r="P95" s="167" t="s">
        <v>41</v>
      </c>
      <c r="Q95" s="178"/>
      <c r="R95" s="216"/>
      <c r="S95" s="200"/>
      <c r="T95" s="64">
        <v>45372</v>
      </c>
      <c r="U95" s="212" t="s">
        <v>43</v>
      </c>
      <c r="V95" s="64">
        <v>45376</v>
      </c>
      <c r="W95" s="137" t="s">
        <v>45</v>
      </c>
      <c r="X95" s="224">
        <v>20600</v>
      </c>
      <c r="Y95" s="201" t="s">
        <v>68</v>
      </c>
      <c r="Z95" s="201"/>
      <c r="AA95" s="202">
        <v>45371</v>
      </c>
      <c r="AB95" s="202">
        <v>45371</v>
      </c>
      <c r="AC95" s="202">
        <v>45372</v>
      </c>
      <c r="AD95" s="181"/>
      <c r="AE95" s="71">
        <v>45373</v>
      </c>
      <c r="AF95" s="15"/>
      <c r="AG95" s="15"/>
      <c r="AH95" s="15"/>
      <c r="AI95" s="15"/>
      <c r="AJ95" s="15"/>
      <c r="AK95" s="15"/>
      <c r="AL95" s="15"/>
    </row>
    <row r="96" spans="1:44" s="15" customFormat="1" ht="18" hidden="1" customHeight="1" x14ac:dyDescent="0.25">
      <c r="A96" s="228" t="s">
        <v>524</v>
      </c>
      <c r="B96" s="187">
        <v>25426</v>
      </c>
      <c r="C96" s="193">
        <v>14520</v>
      </c>
      <c r="D96" s="198"/>
      <c r="E96" s="187" t="s">
        <v>574</v>
      </c>
      <c r="F96" s="204"/>
      <c r="G96" s="187"/>
      <c r="H96" s="214" t="s">
        <v>37</v>
      </c>
      <c r="I96" s="195"/>
      <c r="J96" s="195"/>
      <c r="K96" s="195"/>
      <c r="L96" s="185">
        <v>45350</v>
      </c>
      <c r="M96" s="185"/>
      <c r="N96" s="187"/>
      <c r="O96" s="188"/>
      <c r="P96" s="187"/>
      <c r="Q96" s="194"/>
      <c r="R96" s="185"/>
      <c r="S96" s="194"/>
      <c r="T96" s="185">
        <v>45372</v>
      </c>
      <c r="U96" s="203" t="s">
        <v>43</v>
      </c>
      <c r="V96" s="202">
        <v>45376</v>
      </c>
      <c r="W96" s="201" t="s">
        <v>45</v>
      </c>
      <c r="X96" s="224">
        <v>27810</v>
      </c>
      <c r="Y96" s="201" t="s">
        <v>68</v>
      </c>
      <c r="Z96" s="201"/>
      <c r="AA96" s="202">
        <v>45371</v>
      </c>
      <c r="AB96" s="202">
        <v>45371</v>
      </c>
      <c r="AC96" s="202">
        <v>45372</v>
      </c>
      <c r="AD96" s="229"/>
      <c r="AE96" s="71">
        <v>45373</v>
      </c>
    </row>
    <row r="97" spans="1:44" s="15" customFormat="1" ht="18" hidden="1" customHeight="1" x14ac:dyDescent="0.25">
      <c r="A97" s="228" t="s">
        <v>136</v>
      </c>
      <c r="B97" s="187">
        <v>25537</v>
      </c>
      <c r="C97" s="193">
        <v>6600</v>
      </c>
      <c r="D97" s="198"/>
      <c r="E97" s="187" t="s">
        <v>575</v>
      </c>
      <c r="F97" s="187"/>
      <c r="G97" s="187"/>
      <c r="H97" s="214" t="s">
        <v>37</v>
      </c>
      <c r="I97" s="195"/>
      <c r="J97" s="195"/>
      <c r="K97" s="201"/>
      <c r="L97" s="202">
        <v>45350</v>
      </c>
      <c r="M97" s="185"/>
      <c r="N97" s="187"/>
      <c r="O97" s="188"/>
      <c r="P97" s="187"/>
      <c r="Q97" s="194"/>
      <c r="R97" s="202"/>
      <c r="S97" s="194"/>
      <c r="T97" s="185">
        <v>45372</v>
      </c>
      <c r="U97" s="203" t="s">
        <v>43</v>
      </c>
      <c r="V97" s="202">
        <v>45376</v>
      </c>
      <c r="W97" s="201" t="s">
        <v>45</v>
      </c>
      <c r="X97" s="224">
        <v>10350</v>
      </c>
      <c r="Y97" s="195" t="s">
        <v>68</v>
      </c>
      <c r="Z97" s="201"/>
      <c r="AA97" s="202">
        <v>45371</v>
      </c>
      <c r="AB97" s="202">
        <v>45371</v>
      </c>
      <c r="AC97" s="202">
        <v>45372</v>
      </c>
      <c r="AD97" s="196"/>
      <c r="AE97" s="71">
        <v>45373</v>
      </c>
    </row>
    <row r="98" spans="1:44" ht="18" hidden="1" x14ac:dyDescent="0.2">
      <c r="A98" s="211" t="s">
        <v>576</v>
      </c>
      <c r="B98" s="165">
        <v>25538</v>
      </c>
      <c r="C98" s="193">
        <v>1100</v>
      </c>
      <c r="D98" s="198"/>
      <c r="E98" s="187" t="s">
        <v>577</v>
      </c>
      <c r="F98" s="206"/>
      <c r="G98" s="206"/>
      <c r="H98" s="215" t="s">
        <v>37</v>
      </c>
      <c r="I98" s="206"/>
      <c r="J98" s="206"/>
      <c r="K98" s="206"/>
      <c r="L98" s="65">
        <v>45350</v>
      </c>
      <c r="M98" s="197"/>
      <c r="N98" s="206"/>
      <c r="O98" s="206"/>
      <c r="P98" s="206"/>
      <c r="Q98" s="206"/>
      <c r="R98" s="206"/>
      <c r="S98" s="206"/>
      <c r="T98" s="185">
        <v>45372</v>
      </c>
      <c r="U98" s="203" t="s">
        <v>43</v>
      </c>
      <c r="V98" s="202">
        <v>45376</v>
      </c>
      <c r="W98" s="201" t="s">
        <v>45</v>
      </c>
      <c r="X98" s="235">
        <v>17500</v>
      </c>
      <c r="Y98" s="201" t="s">
        <v>68</v>
      </c>
      <c r="Z98" s="201"/>
      <c r="AA98" s="202">
        <v>45371</v>
      </c>
      <c r="AB98" s="202">
        <v>45371</v>
      </c>
      <c r="AC98" s="202">
        <v>45372</v>
      </c>
      <c r="AD98" s="197"/>
      <c r="AE98" s="71">
        <v>45373</v>
      </c>
      <c r="AF98" s="18"/>
      <c r="AG98" s="18"/>
      <c r="AH98" s="18"/>
      <c r="AI98" s="18"/>
      <c r="AJ98" s="18"/>
      <c r="AK98" s="18"/>
      <c r="AL98" s="18"/>
    </row>
    <row r="99" spans="1:44" s="2" customFormat="1" ht="18" hidden="1" customHeight="1" x14ac:dyDescent="0.25">
      <c r="A99" s="9" t="s">
        <v>578</v>
      </c>
      <c r="B99" s="4">
        <v>25241</v>
      </c>
      <c r="C99" s="5">
        <v>46200</v>
      </c>
      <c r="D99" s="4" t="s">
        <v>105</v>
      </c>
      <c r="E99" s="12" t="s">
        <v>579</v>
      </c>
      <c r="F99" s="6" t="s">
        <v>580</v>
      </c>
      <c r="G99" s="6" t="s">
        <v>36</v>
      </c>
      <c r="H99" s="4" t="s">
        <v>51</v>
      </c>
      <c r="I99" s="4" t="s">
        <v>97</v>
      </c>
      <c r="J99" s="4" t="s">
        <v>98</v>
      </c>
      <c r="K99" s="4"/>
      <c r="L99" s="7">
        <v>45345</v>
      </c>
      <c r="M99" s="8"/>
      <c r="N99" s="4" t="s">
        <v>40</v>
      </c>
      <c r="O99" s="14">
        <v>575</v>
      </c>
      <c r="P99" s="4" t="s">
        <v>80</v>
      </c>
      <c r="Q99" s="41">
        <f>+O99/C99</f>
        <v>1.2445887445887446E-2</v>
      </c>
      <c r="R99" s="4"/>
      <c r="S99" s="4"/>
      <c r="T99" s="7">
        <v>45372</v>
      </c>
      <c r="U99" s="6" t="s">
        <v>43</v>
      </c>
      <c r="V99" s="71">
        <v>45376</v>
      </c>
      <c r="W99" s="10" t="s">
        <v>45</v>
      </c>
      <c r="X99" s="236">
        <f>43685-21842.5</f>
        <v>21842.5</v>
      </c>
      <c r="Y99" s="70" t="s">
        <v>341</v>
      </c>
      <c r="Z99" s="70"/>
      <c r="AA99" s="78"/>
      <c r="AB99" s="7">
        <v>45366</v>
      </c>
      <c r="AC99" s="7">
        <v>45372</v>
      </c>
      <c r="AD99" s="38"/>
      <c r="AE99" s="71">
        <v>45379</v>
      </c>
      <c r="AF99" s="15"/>
      <c r="AG99" s="15"/>
      <c r="AH99" s="15"/>
      <c r="AI99" s="15"/>
      <c r="AJ99" s="15"/>
      <c r="AK99" s="15"/>
      <c r="AL99" s="15"/>
    </row>
    <row r="100" spans="1:44" ht="18" hidden="1" customHeight="1" x14ac:dyDescent="0.25">
      <c r="A100" s="97" t="s">
        <v>557</v>
      </c>
      <c r="B100" s="98">
        <v>23648</v>
      </c>
      <c r="C100" s="99">
        <v>35000</v>
      </c>
      <c r="D100" s="100" t="s">
        <v>105</v>
      </c>
      <c r="E100" s="101" t="s">
        <v>558</v>
      </c>
      <c r="F100" s="100" t="s">
        <v>581</v>
      </c>
      <c r="G100" s="100" t="s">
        <v>130</v>
      </c>
      <c r="H100" s="108" t="s">
        <v>51</v>
      </c>
      <c r="I100" s="108"/>
      <c r="J100" s="108" t="s">
        <v>120</v>
      </c>
      <c r="K100" s="108"/>
      <c r="L100" s="102">
        <v>45309</v>
      </c>
      <c r="M100" s="103"/>
      <c r="N100" s="98" t="s">
        <v>40</v>
      </c>
      <c r="O100" s="105">
        <v>575</v>
      </c>
      <c r="P100" s="98" t="s">
        <v>80</v>
      </c>
      <c r="Q100" s="123">
        <f>+O100/C100</f>
        <v>1.6428571428571428E-2</v>
      </c>
      <c r="R100" s="102">
        <v>45367</v>
      </c>
      <c r="S100" s="123" t="s">
        <v>65</v>
      </c>
      <c r="T100" s="34">
        <v>45376</v>
      </c>
      <c r="U100" s="100" t="s">
        <v>76</v>
      </c>
      <c r="V100" s="102">
        <v>45377</v>
      </c>
      <c r="W100" s="107" t="s">
        <v>582</v>
      </c>
      <c r="X100" s="62">
        <f>76300-7630</f>
        <v>68670</v>
      </c>
      <c r="Y100" s="108" t="s">
        <v>341</v>
      </c>
      <c r="Z100" s="108"/>
      <c r="AA100" s="78"/>
      <c r="AB100" s="71">
        <v>45371</v>
      </c>
      <c r="AC100" s="71">
        <v>45376</v>
      </c>
      <c r="AD100" s="79"/>
      <c r="AE100" s="71">
        <v>45379</v>
      </c>
    </row>
    <row r="101" spans="1:44" s="30" customFormat="1" ht="18" hidden="1" customHeight="1" x14ac:dyDescent="0.25">
      <c r="A101" s="21" t="s">
        <v>263</v>
      </c>
      <c r="B101" s="22">
        <v>24472</v>
      </c>
      <c r="C101" s="23">
        <v>40000</v>
      </c>
      <c r="D101" s="22" t="s">
        <v>249</v>
      </c>
      <c r="E101" s="22" t="s">
        <v>332</v>
      </c>
      <c r="F101" s="22"/>
      <c r="G101" s="22"/>
      <c r="H101" s="24" t="s">
        <v>37</v>
      </c>
      <c r="I101" s="90" t="s">
        <v>266</v>
      </c>
      <c r="J101" s="90" t="s">
        <v>62</v>
      </c>
      <c r="K101" s="90"/>
      <c r="L101" s="25">
        <v>45371</v>
      </c>
      <c r="M101" s="25"/>
      <c r="N101" s="22"/>
      <c r="O101" s="26"/>
      <c r="P101" s="22"/>
      <c r="Q101" s="27"/>
      <c r="R101" s="217"/>
      <c r="S101" s="27"/>
      <c r="T101" s="24"/>
      <c r="U101" s="28" t="s">
        <v>66</v>
      </c>
      <c r="V101" s="25">
        <v>45377</v>
      </c>
      <c r="W101" s="24" t="s">
        <v>334</v>
      </c>
      <c r="X101" s="29">
        <v>65200</v>
      </c>
      <c r="Y101" s="24" t="s">
        <v>215</v>
      </c>
      <c r="Z101" s="24"/>
      <c r="AA101" s="63"/>
      <c r="AB101" s="63"/>
      <c r="AC101" s="7">
        <v>45373</v>
      </c>
      <c r="AD101" s="128"/>
      <c r="AE101" s="71">
        <v>45373</v>
      </c>
      <c r="AF101" s="15"/>
      <c r="AG101" s="15"/>
      <c r="AH101" s="15"/>
      <c r="AI101" s="15"/>
      <c r="AJ101" s="15"/>
      <c r="AK101" s="15"/>
      <c r="AL101" s="15"/>
      <c r="AM101" s="15"/>
      <c r="AN101" s="15"/>
      <c r="AO101" s="15"/>
      <c r="AP101" s="15"/>
      <c r="AQ101" s="15"/>
      <c r="AR101" s="15"/>
    </row>
    <row r="102" spans="1:44" s="2" customFormat="1" ht="18" hidden="1" customHeight="1" x14ac:dyDescent="0.25">
      <c r="A102" s="226" t="s">
        <v>136</v>
      </c>
      <c r="B102" s="4">
        <v>25425</v>
      </c>
      <c r="C102" s="5">
        <v>43540</v>
      </c>
      <c r="D102" s="6" t="s">
        <v>33</v>
      </c>
      <c r="E102" s="12" t="s">
        <v>583</v>
      </c>
      <c r="F102" s="6" t="s">
        <v>584</v>
      </c>
      <c r="G102" s="67" t="s">
        <v>36</v>
      </c>
      <c r="H102" s="8" t="s">
        <v>37</v>
      </c>
      <c r="I102" s="8" t="s">
        <v>97</v>
      </c>
      <c r="J102" s="8" t="s">
        <v>98</v>
      </c>
      <c r="K102" s="8"/>
      <c r="L102" s="7">
        <v>45357</v>
      </c>
      <c r="M102" s="8" t="s">
        <v>99</v>
      </c>
      <c r="N102" s="4" t="s">
        <v>40</v>
      </c>
      <c r="O102" s="14">
        <f>2100+400</f>
        <v>2500</v>
      </c>
      <c r="P102" s="4" t="s">
        <v>41</v>
      </c>
      <c r="Q102" s="36">
        <f>+O102/C102</f>
        <v>5.7418465778594399E-2</v>
      </c>
      <c r="R102" s="4"/>
      <c r="S102" s="4"/>
      <c r="T102" s="64">
        <v>45378</v>
      </c>
      <c r="U102" s="6" t="s">
        <v>43</v>
      </c>
      <c r="V102" s="7">
        <v>45383</v>
      </c>
      <c r="W102" s="10" t="s">
        <v>45</v>
      </c>
      <c r="X102" s="236">
        <v>82163</v>
      </c>
      <c r="Y102" s="8" t="s">
        <v>68</v>
      </c>
      <c r="Z102" s="8"/>
      <c r="AA102" s="71">
        <v>45378</v>
      </c>
      <c r="AB102" s="71">
        <v>45378</v>
      </c>
      <c r="AC102" s="71">
        <v>45377</v>
      </c>
      <c r="AD102" s="37"/>
      <c r="AE102" s="71">
        <v>45379</v>
      </c>
      <c r="AF102" s="15"/>
      <c r="AG102" s="15"/>
      <c r="AH102" s="15"/>
      <c r="AI102" s="15"/>
      <c r="AJ102" s="15"/>
      <c r="AK102" s="15"/>
      <c r="AL102" s="15"/>
    </row>
    <row r="103" spans="1:44" s="15" customFormat="1" ht="18" hidden="1" customHeight="1" x14ac:dyDescent="0.25">
      <c r="A103" s="209" t="s">
        <v>367</v>
      </c>
      <c r="B103" s="6">
        <v>25337</v>
      </c>
      <c r="C103" s="44">
        <v>55000</v>
      </c>
      <c r="D103" s="6" t="s">
        <v>48</v>
      </c>
      <c r="E103" s="6" t="s">
        <v>585</v>
      </c>
      <c r="F103" s="6" t="s">
        <v>586</v>
      </c>
      <c r="G103" s="6" t="s">
        <v>587</v>
      </c>
      <c r="H103" s="45" t="s">
        <v>109</v>
      </c>
      <c r="I103" s="45"/>
      <c r="J103" s="45" t="s">
        <v>75</v>
      </c>
      <c r="K103" s="45"/>
      <c r="L103" s="7">
        <v>45321</v>
      </c>
      <c r="M103" s="7"/>
      <c r="N103" s="6" t="s">
        <v>40</v>
      </c>
      <c r="O103" s="13">
        <v>575</v>
      </c>
      <c r="P103" s="6" t="s">
        <v>80</v>
      </c>
      <c r="Q103" s="41">
        <f>+O103/C103</f>
        <v>1.0454545454545454E-2</v>
      </c>
      <c r="R103" s="65">
        <v>45366</v>
      </c>
      <c r="S103" s="41" t="s">
        <v>65</v>
      </c>
      <c r="T103" s="64">
        <v>45384</v>
      </c>
      <c r="U103" s="46" t="s">
        <v>178</v>
      </c>
      <c r="V103" s="7">
        <v>45383</v>
      </c>
      <c r="W103" s="10" t="s">
        <v>45</v>
      </c>
      <c r="X103" s="114">
        <v>99500</v>
      </c>
      <c r="Y103" s="11" t="s">
        <v>341</v>
      </c>
      <c r="Z103" s="11"/>
      <c r="AA103" s="78"/>
      <c r="AB103" s="71">
        <v>45377</v>
      </c>
      <c r="AC103" s="7">
        <v>45382</v>
      </c>
      <c r="AD103" s="38"/>
      <c r="AE103" s="71">
        <v>45395</v>
      </c>
    </row>
    <row r="104" spans="1:44" s="30" customFormat="1" ht="18" hidden="1" customHeight="1" x14ac:dyDescent="0.25">
      <c r="A104" s="21" t="s">
        <v>251</v>
      </c>
      <c r="B104" s="22">
        <v>24921</v>
      </c>
      <c r="C104" s="23">
        <v>40000</v>
      </c>
      <c r="D104" s="22" t="s">
        <v>249</v>
      </c>
      <c r="E104" s="22" t="s">
        <v>421</v>
      </c>
      <c r="F104" s="22"/>
      <c r="G104" s="22"/>
      <c r="H104" s="24" t="s">
        <v>37</v>
      </c>
      <c r="I104" s="24" t="s">
        <v>499</v>
      </c>
      <c r="J104" s="24" t="s">
        <v>62</v>
      </c>
      <c r="K104" s="24"/>
      <c r="L104" s="25">
        <v>45378</v>
      </c>
      <c r="M104" s="25"/>
      <c r="N104" s="22" t="s">
        <v>588</v>
      </c>
      <c r="O104" s="26">
        <v>6400</v>
      </c>
      <c r="P104" s="22" t="s">
        <v>80</v>
      </c>
      <c r="Q104" s="27">
        <f>+O104/C104</f>
        <v>0.16</v>
      </c>
      <c r="R104" s="217"/>
      <c r="S104" s="27"/>
      <c r="T104" s="24"/>
      <c r="U104" s="28" t="s">
        <v>66</v>
      </c>
      <c r="V104" s="25">
        <v>45386</v>
      </c>
      <c r="W104" s="24" t="s">
        <v>45</v>
      </c>
      <c r="X104" s="29">
        <v>91125</v>
      </c>
      <c r="Y104" s="24" t="s">
        <v>215</v>
      </c>
      <c r="Z104" s="24"/>
      <c r="AA104" s="78"/>
      <c r="AB104" s="11"/>
      <c r="AC104" s="7">
        <v>45383</v>
      </c>
      <c r="AD104" s="128" t="s">
        <v>500</v>
      </c>
      <c r="AE104" s="71">
        <v>45412</v>
      </c>
      <c r="AF104" s="15"/>
      <c r="AG104" s="15"/>
      <c r="AH104" s="15"/>
      <c r="AI104" s="15"/>
      <c r="AJ104" s="15"/>
      <c r="AK104" s="15"/>
      <c r="AL104" s="15"/>
      <c r="AM104" s="15"/>
      <c r="AN104" s="15"/>
      <c r="AO104" s="15"/>
      <c r="AP104" s="15"/>
      <c r="AQ104" s="15"/>
    </row>
    <row r="105" spans="1:44" s="30" customFormat="1" ht="18" hidden="1" customHeight="1" x14ac:dyDescent="0.25">
      <c r="A105" s="109" t="s">
        <v>259</v>
      </c>
      <c r="B105" s="22">
        <v>24552</v>
      </c>
      <c r="C105" s="23">
        <v>40500</v>
      </c>
      <c r="D105" s="22" t="s">
        <v>249</v>
      </c>
      <c r="E105" s="22" t="s">
        <v>260</v>
      </c>
      <c r="F105" s="22"/>
      <c r="G105" s="22"/>
      <c r="H105" s="24" t="s">
        <v>37</v>
      </c>
      <c r="I105" s="24" t="s">
        <v>261</v>
      </c>
      <c r="J105" s="24" t="s">
        <v>53</v>
      </c>
      <c r="K105" s="24"/>
      <c r="L105" s="25">
        <v>45385</v>
      </c>
      <c r="M105" s="25"/>
      <c r="N105" s="22"/>
      <c r="O105" s="26"/>
      <c r="P105" s="22"/>
      <c r="Q105" s="27"/>
      <c r="R105" s="217"/>
      <c r="S105" s="27"/>
      <c r="T105" s="24"/>
      <c r="U105" s="28" t="s">
        <v>66</v>
      </c>
      <c r="V105" s="25">
        <v>45386</v>
      </c>
      <c r="W105" s="24" t="s">
        <v>45</v>
      </c>
      <c r="X105" s="29">
        <v>55485</v>
      </c>
      <c r="Y105" s="24" t="s">
        <v>215</v>
      </c>
      <c r="Z105" s="24"/>
      <c r="AA105" s="78"/>
      <c r="AB105" s="78"/>
      <c r="AC105" s="78"/>
      <c r="AD105" s="6" t="s">
        <v>589</v>
      </c>
      <c r="AE105" s="7" t="s">
        <v>378</v>
      </c>
      <c r="AF105" s="15"/>
      <c r="AG105" s="15"/>
      <c r="AH105" s="15"/>
      <c r="AI105" s="15"/>
      <c r="AJ105" s="15"/>
      <c r="AK105" s="15"/>
      <c r="AL105" s="15"/>
      <c r="AM105" s="15"/>
      <c r="AN105" s="15"/>
      <c r="AO105" s="15"/>
      <c r="AP105" s="15"/>
      <c r="AQ105" s="15"/>
    </row>
    <row r="106" spans="1:44" s="15" customFormat="1" ht="18" hidden="1" customHeight="1" x14ac:dyDescent="0.25">
      <c r="A106" s="209" t="s">
        <v>104</v>
      </c>
      <c r="B106" s="6">
        <v>25523</v>
      </c>
      <c r="C106" s="5">
        <v>55000</v>
      </c>
      <c r="D106" s="6" t="s">
        <v>33</v>
      </c>
      <c r="E106" s="6" t="s">
        <v>590</v>
      </c>
      <c r="F106" s="6" t="s">
        <v>591</v>
      </c>
      <c r="G106" s="6" t="s">
        <v>36</v>
      </c>
      <c r="H106" s="6" t="s">
        <v>592</v>
      </c>
      <c r="I106" s="6"/>
      <c r="J106" s="6" t="s">
        <v>473</v>
      </c>
      <c r="K106" s="6"/>
      <c r="L106" s="7">
        <v>45346</v>
      </c>
      <c r="M106" s="7"/>
      <c r="N106" s="6" t="s">
        <v>40</v>
      </c>
      <c r="O106" s="13">
        <v>575</v>
      </c>
      <c r="P106" s="6" t="s">
        <v>80</v>
      </c>
      <c r="Q106" s="41">
        <f>+O106/C106</f>
        <v>1.0454545454545454E-2</v>
      </c>
      <c r="R106" s="36"/>
      <c r="S106" s="36"/>
      <c r="T106" s="7">
        <v>45387</v>
      </c>
      <c r="U106" s="17" t="s">
        <v>43</v>
      </c>
      <c r="V106" s="7" t="s">
        <v>593</v>
      </c>
      <c r="W106" s="11" t="s">
        <v>45</v>
      </c>
      <c r="X106" s="236">
        <v>62987</v>
      </c>
      <c r="Y106" s="11" t="s">
        <v>341</v>
      </c>
      <c r="Z106" s="11"/>
      <c r="AA106" s="78"/>
      <c r="AB106" s="7">
        <v>45387</v>
      </c>
      <c r="AC106" s="7">
        <v>45383</v>
      </c>
      <c r="AD106" s="48"/>
      <c r="AE106" s="71">
        <v>45395</v>
      </c>
    </row>
    <row r="107" spans="1:44" s="15" customFormat="1" ht="18" hidden="1" customHeight="1" x14ac:dyDescent="0.25">
      <c r="A107" s="209" t="s">
        <v>594</v>
      </c>
      <c r="B107" s="6">
        <v>25194</v>
      </c>
      <c r="C107" s="5">
        <v>55000</v>
      </c>
      <c r="D107" s="45" t="s">
        <v>48</v>
      </c>
      <c r="E107" s="6" t="s">
        <v>595</v>
      </c>
      <c r="F107" s="129" t="s">
        <v>596</v>
      </c>
      <c r="G107" s="6" t="s">
        <v>36</v>
      </c>
      <c r="H107" s="45" t="s">
        <v>51</v>
      </c>
      <c r="I107" s="45"/>
      <c r="J107" s="45" t="s">
        <v>473</v>
      </c>
      <c r="K107" s="45"/>
      <c r="L107" s="7">
        <v>45331</v>
      </c>
      <c r="M107" s="7"/>
      <c r="N107" s="6" t="s">
        <v>40</v>
      </c>
      <c r="O107" s="13">
        <v>575</v>
      </c>
      <c r="P107" s="6" t="s">
        <v>80</v>
      </c>
      <c r="Q107" s="41">
        <f>+O107/C107</f>
        <v>1.0454545454545454E-2</v>
      </c>
      <c r="R107" s="36"/>
      <c r="S107" s="36"/>
      <c r="T107" s="7">
        <v>45387</v>
      </c>
      <c r="U107" s="17" t="s">
        <v>43</v>
      </c>
      <c r="V107" s="7" t="s">
        <v>593</v>
      </c>
      <c r="W107" s="11" t="s">
        <v>45</v>
      </c>
      <c r="X107" s="236">
        <v>62634</v>
      </c>
      <c r="Y107" s="11" t="s">
        <v>68</v>
      </c>
      <c r="Z107" s="11"/>
      <c r="AA107" s="7">
        <v>45385</v>
      </c>
      <c r="AB107" s="7">
        <v>45387</v>
      </c>
      <c r="AC107" s="7">
        <v>45387</v>
      </c>
      <c r="AD107" s="128"/>
      <c r="AE107" s="71">
        <v>45395</v>
      </c>
    </row>
    <row r="108" spans="1:44" s="30" customFormat="1" ht="18" hidden="1" customHeight="1" x14ac:dyDescent="0.25">
      <c r="A108" s="109" t="s">
        <v>597</v>
      </c>
      <c r="B108" s="22">
        <v>25817</v>
      </c>
      <c r="C108" s="23">
        <v>40000</v>
      </c>
      <c r="D108" s="22" t="s">
        <v>249</v>
      </c>
      <c r="E108" s="22" t="s">
        <v>598</v>
      </c>
      <c r="F108" s="22"/>
      <c r="G108" s="22"/>
      <c r="H108" s="24" t="s">
        <v>164</v>
      </c>
      <c r="I108" s="24" t="s">
        <v>115</v>
      </c>
      <c r="J108" s="24" t="s">
        <v>62</v>
      </c>
      <c r="K108" s="24"/>
      <c r="L108" s="25">
        <v>45379</v>
      </c>
      <c r="M108" s="25"/>
      <c r="N108" s="22" t="s">
        <v>588</v>
      </c>
      <c r="O108" s="26">
        <v>6550</v>
      </c>
      <c r="P108" s="22" t="s">
        <v>80</v>
      </c>
      <c r="Q108" s="27">
        <f>+O108/C108</f>
        <v>0.16375000000000001</v>
      </c>
      <c r="R108" s="217"/>
      <c r="S108" s="27"/>
      <c r="T108" s="24"/>
      <c r="U108" s="28" t="s">
        <v>66</v>
      </c>
      <c r="V108" s="25">
        <v>45390</v>
      </c>
      <c r="W108" s="24" t="s">
        <v>45</v>
      </c>
      <c r="X108" s="29">
        <v>58212</v>
      </c>
      <c r="Y108" s="24" t="s">
        <v>215</v>
      </c>
      <c r="Z108" s="24"/>
      <c r="AA108" s="78"/>
      <c r="AB108" s="78"/>
      <c r="AC108" s="7">
        <v>45382</v>
      </c>
      <c r="AD108" s="38"/>
      <c r="AE108" s="71">
        <v>45414</v>
      </c>
      <c r="AF108" s="15"/>
      <c r="AG108" s="15"/>
      <c r="AH108" s="15"/>
      <c r="AI108" s="15"/>
      <c r="AJ108" s="15"/>
      <c r="AK108" s="15"/>
      <c r="AL108" s="15"/>
      <c r="AM108" s="15"/>
      <c r="AN108" s="15"/>
      <c r="AO108" s="15"/>
      <c r="AP108" s="15"/>
      <c r="AQ108" s="15"/>
    </row>
    <row r="109" spans="1:44" ht="18" hidden="1" customHeight="1" x14ac:dyDescent="0.25">
      <c r="A109" s="230" t="s">
        <v>175</v>
      </c>
      <c r="B109" s="98">
        <v>24492</v>
      </c>
      <c r="C109" s="99">
        <v>44000</v>
      </c>
      <c r="D109" s="100" t="s">
        <v>105</v>
      </c>
      <c r="E109" s="101" t="s">
        <v>360</v>
      </c>
      <c r="F109" s="100" t="s">
        <v>599</v>
      </c>
      <c r="G109" s="100" t="s">
        <v>130</v>
      </c>
      <c r="H109" s="108" t="s">
        <v>51</v>
      </c>
      <c r="I109" s="108"/>
      <c r="J109" s="108" t="s">
        <v>75</v>
      </c>
      <c r="K109" s="108"/>
      <c r="L109" s="102">
        <v>45326</v>
      </c>
      <c r="M109" s="103"/>
      <c r="N109" s="98" t="s">
        <v>40</v>
      </c>
      <c r="O109" s="105">
        <v>575</v>
      </c>
      <c r="P109" s="98" t="s">
        <v>80</v>
      </c>
      <c r="Q109" s="123">
        <f>+O109/C109</f>
        <v>1.3068181818181817E-2</v>
      </c>
      <c r="R109" s="102">
        <v>45378</v>
      </c>
      <c r="S109" s="123" t="s">
        <v>65</v>
      </c>
      <c r="T109" s="102">
        <v>45386</v>
      </c>
      <c r="U109" s="100" t="s">
        <v>178</v>
      </c>
      <c r="V109" s="102">
        <v>45391</v>
      </c>
      <c r="W109" s="107" t="s">
        <v>600</v>
      </c>
      <c r="X109" s="62">
        <v>31000</v>
      </c>
      <c r="Y109" s="108" t="s">
        <v>341</v>
      </c>
      <c r="Z109" s="108"/>
      <c r="AA109" s="78"/>
      <c r="AB109" s="71">
        <v>45390</v>
      </c>
      <c r="AC109" s="7">
        <v>45387</v>
      </c>
      <c r="AD109" s="79"/>
      <c r="AE109" s="71">
        <v>45395</v>
      </c>
    </row>
    <row r="110" spans="1:44" s="15" customFormat="1" ht="18" hidden="1" customHeight="1" x14ac:dyDescent="0.25">
      <c r="A110" s="209" t="s">
        <v>175</v>
      </c>
      <c r="B110" s="6">
        <v>24493</v>
      </c>
      <c r="C110" s="5">
        <v>44000</v>
      </c>
      <c r="D110" s="6" t="s">
        <v>105</v>
      </c>
      <c r="E110" s="6" t="s">
        <v>360</v>
      </c>
      <c r="F110" s="6" t="s">
        <v>601</v>
      </c>
      <c r="G110" s="6" t="s">
        <v>602</v>
      </c>
      <c r="H110" s="6" t="s">
        <v>51</v>
      </c>
      <c r="I110" s="6"/>
      <c r="J110" s="6" t="s">
        <v>75</v>
      </c>
      <c r="K110" s="6"/>
      <c r="L110" s="7">
        <v>45348</v>
      </c>
      <c r="M110" s="7"/>
      <c r="N110" s="6"/>
      <c r="O110" s="13"/>
      <c r="P110" s="6"/>
      <c r="Q110" s="41"/>
      <c r="R110" s="65">
        <v>45377</v>
      </c>
      <c r="S110" s="41" t="s">
        <v>65</v>
      </c>
      <c r="T110" s="65">
        <v>45389</v>
      </c>
      <c r="U110" s="17" t="s">
        <v>76</v>
      </c>
      <c r="V110" s="7">
        <v>45391</v>
      </c>
      <c r="W110" s="11" t="s">
        <v>45</v>
      </c>
      <c r="X110" s="236">
        <v>31000</v>
      </c>
      <c r="Y110" s="11" t="s">
        <v>341</v>
      </c>
      <c r="Z110" s="11"/>
      <c r="AA110" s="78"/>
      <c r="AB110" s="71">
        <v>45390</v>
      </c>
      <c r="AC110" s="7">
        <v>45389</v>
      </c>
      <c r="AD110" s="40"/>
      <c r="AE110" s="71">
        <v>45395</v>
      </c>
    </row>
    <row r="111" spans="1:44" s="30" customFormat="1" ht="18" hidden="1" customHeight="1" x14ac:dyDescent="0.25">
      <c r="A111" s="109" t="s">
        <v>251</v>
      </c>
      <c r="B111" s="22">
        <v>25620</v>
      </c>
      <c r="C111" s="23">
        <v>40000</v>
      </c>
      <c r="D111" s="22" t="s">
        <v>249</v>
      </c>
      <c r="E111" s="22" t="s">
        <v>603</v>
      </c>
      <c r="F111" s="22"/>
      <c r="G111" s="22"/>
      <c r="H111" s="24" t="s">
        <v>37</v>
      </c>
      <c r="I111" s="24" t="s">
        <v>499</v>
      </c>
      <c r="J111" s="24" t="s">
        <v>62</v>
      </c>
      <c r="K111" s="24"/>
      <c r="L111" s="25">
        <v>45385</v>
      </c>
      <c r="M111" s="25"/>
      <c r="N111" s="22" t="s">
        <v>441</v>
      </c>
      <c r="O111" s="26">
        <v>6400</v>
      </c>
      <c r="P111" s="22" t="s">
        <v>80</v>
      </c>
      <c r="Q111" s="27">
        <f>+O111/C111</f>
        <v>0.16</v>
      </c>
      <c r="R111" s="217"/>
      <c r="S111" s="27"/>
      <c r="T111" s="24"/>
      <c r="U111" s="28" t="s">
        <v>66</v>
      </c>
      <c r="V111" s="25">
        <v>45391</v>
      </c>
      <c r="W111" s="24" t="s">
        <v>45</v>
      </c>
      <c r="X111" s="29">
        <v>92475</v>
      </c>
      <c r="Y111" s="24" t="s">
        <v>215</v>
      </c>
      <c r="Z111" s="24"/>
      <c r="AA111" s="78"/>
      <c r="AB111" s="78"/>
      <c r="AC111" s="7">
        <v>45389</v>
      </c>
      <c r="AD111" s="39" t="s">
        <v>604</v>
      </c>
      <c r="AE111" s="71">
        <v>45391</v>
      </c>
      <c r="AF111" s="15"/>
      <c r="AG111" s="15"/>
      <c r="AH111" s="15"/>
      <c r="AI111" s="15"/>
      <c r="AJ111" s="15"/>
      <c r="AK111" s="15"/>
      <c r="AL111" s="15"/>
      <c r="AM111" s="15"/>
      <c r="AN111" s="15"/>
      <c r="AO111" s="15"/>
      <c r="AP111" s="15"/>
      <c r="AQ111" s="15"/>
    </row>
    <row r="112" spans="1:44" s="30" customFormat="1" ht="18" hidden="1" customHeight="1" x14ac:dyDescent="0.25">
      <c r="A112" s="21" t="s">
        <v>251</v>
      </c>
      <c r="B112" s="22">
        <v>25559</v>
      </c>
      <c r="C112" s="23">
        <v>40000</v>
      </c>
      <c r="D112" s="22" t="s">
        <v>249</v>
      </c>
      <c r="E112" s="22" t="s">
        <v>605</v>
      </c>
      <c r="F112" s="22"/>
      <c r="G112" s="22"/>
      <c r="H112" s="24" t="s">
        <v>37</v>
      </c>
      <c r="I112" s="24" t="s">
        <v>499</v>
      </c>
      <c r="J112" s="24" t="s">
        <v>62</v>
      </c>
      <c r="K112" s="24"/>
      <c r="L112" s="237">
        <v>45387</v>
      </c>
      <c r="M112" s="25"/>
      <c r="N112" s="22" t="s">
        <v>441</v>
      </c>
      <c r="O112" s="26">
        <v>6400</v>
      </c>
      <c r="P112" s="22" t="s">
        <v>80</v>
      </c>
      <c r="Q112" s="27">
        <f>+O112/C112</f>
        <v>0.16</v>
      </c>
      <c r="R112" s="217"/>
      <c r="S112" s="27"/>
      <c r="T112" s="24"/>
      <c r="U112" s="28" t="s">
        <v>66</v>
      </c>
      <c r="V112" s="25">
        <v>45391</v>
      </c>
      <c r="W112" s="24" t="s">
        <v>358</v>
      </c>
      <c r="X112" s="29">
        <v>103600</v>
      </c>
      <c r="Y112" s="24" t="s">
        <v>215</v>
      </c>
      <c r="Z112" s="24"/>
      <c r="AA112" s="78"/>
      <c r="AB112" s="78"/>
      <c r="AC112" s="7">
        <v>45388</v>
      </c>
      <c r="AD112" s="43" t="s">
        <v>606</v>
      </c>
      <c r="AE112" s="71">
        <v>45390</v>
      </c>
      <c r="AF112" s="15"/>
      <c r="AG112" s="15"/>
      <c r="AH112" s="15"/>
      <c r="AI112" s="15"/>
      <c r="AJ112" s="15"/>
      <c r="AK112" s="15"/>
      <c r="AL112" s="15"/>
      <c r="AM112" s="15"/>
      <c r="AN112" s="15"/>
      <c r="AO112" s="15"/>
      <c r="AP112" s="15"/>
      <c r="AQ112" s="15"/>
    </row>
    <row r="113" spans="1:44" s="15" customFormat="1" ht="18" hidden="1" customHeight="1" x14ac:dyDescent="0.25">
      <c r="A113" s="16" t="s">
        <v>607</v>
      </c>
      <c r="B113" s="6">
        <v>25421</v>
      </c>
      <c r="C113" s="5">
        <v>55000</v>
      </c>
      <c r="D113" s="6" t="s">
        <v>48</v>
      </c>
      <c r="E113" s="6" t="s">
        <v>608</v>
      </c>
      <c r="F113" s="6" t="s">
        <v>609</v>
      </c>
      <c r="G113" s="6" t="s">
        <v>119</v>
      </c>
      <c r="H113" s="171" t="s">
        <v>37</v>
      </c>
      <c r="I113" s="171" t="s">
        <v>281</v>
      </c>
      <c r="J113" s="171" t="s">
        <v>120</v>
      </c>
      <c r="K113" s="171"/>
      <c r="L113" s="7">
        <v>45342</v>
      </c>
      <c r="M113" s="64" t="s">
        <v>99</v>
      </c>
      <c r="N113" s="6" t="s">
        <v>40</v>
      </c>
      <c r="O113" s="177">
        <f>6305+400</f>
        <v>6705</v>
      </c>
      <c r="P113" s="167" t="s">
        <v>41</v>
      </c>
      <c r="Q113" s="178">
        <f>+O113/C113</f>
        <v>0.12190909090909091</v>
      </c>
      <c r="R113" s="7">
        <v>45378</v>
      </c>
      <c r="S113" s="41" t="s">
        <v>65</v>
      </c>
      <c r="T113" s="64">
        <v>45387</v>
      </c>
      <c r="U113" s="17" t="s">
        <v>178</v>
      </c>
      <c r="V113" s="7">
        <v>45391</v>
      </c>
      <c r="W113" s="11" t="s">
        <v>45</v>
      </c>
      <c r="X113" s="236">
        <f>128700-8190</f>
        <v>120510</v>
      </c>
      <c r="Y113" s="11" t="s">
        <v>341</v>
      </c>
      <c r="Z113" s="11"/>
      <c r="AA113" s="78"/>
      <c r="AB113" s="7">
        <v>45387</v>
      </c>
      <c r="AC113" s="7">
        <v>45387</v>
      </c>
      <c r="AD113" s="48"/>
      <c r="AE113" s="71">
        <v>45444</v>
      </c>
    </row>
    <row r="114" spans="1:44" s="30" customFormat="1" ht="18" hidden="1" customHeight="1" x14ac:dyDescent="0.25">
      <c r="A114" s="21" t="s">
        <v>77</v>
      </c>
      <c r="B114" s="22">
        <v>25779</v>
      </c>
      <c r="C114" s="23">
        <v>40000</v>
      </c>
      <c r="D114" s="22" t="s">
        <v>249</v>
      </c>
      <c r="E114" s="22" t="s">
        <v>610</v>
      </c>
      <c r="F114" s="22"/>
      <c r="G114" s="22"/>
      <c r="H114" s="24" t="s">
        <v>37</v>
      </c>
      <c r="I114" s="24"/>
      <c r="J114" s="24" t="s">
        <v>53</v>
      </c>
      <c r="K114" s="24"/>
      <c r="L114" s="25">
        <v>45391</v>
      </c>
      <c r="M114" s="25"/>
      <c r="N114" s="22" t="s">
        <v>45</v>
      </c>
      <c r="O114" s="26">
        <v>0</v>
      </c>
      <c r="P114" s="22"/>
      <c r="Q114" s="27"/>
      <c r="R114" s="217"/>
      <c r="S114" s="27"/>
      <c r="T114" s="24"/>
      <c r="U114" s="28" t="s">
        <v>66</v>
      </c>
      <c r="V114" s="25">
        <v>45392</v>
      </c>
      <c r="W114" s="24" t="s">
        <v>45</v>
      </c>
      <c r="X114" s="29">
        <v>67550</v>
      </c>
      <c r="Y114" s="24" t="s">
        <v>215</v>
      </c>
      <c r="Z114" s="24"/>
      <c r="AA114" s="78"/>
      <c r="AB114" s="78"/>
      <c r="AC114" s="78"/>
      <c r="AD114" s="48"/>
      <c r="AE114" s="71" t="s">
        <v>378</v>
      </c>
      <c r="AF114" s="15"/>
      <c r="AG114" s="15"/>
      <c r="AH114" s="15"/>
      <c r="AI114" s="15"/>
      <c r="AJ114" s="15"/>
      <c r="AK114" s="15"/>
      <c r="AL114" s="15"/>
      <c r="AM114" s="15"/>
      <c r="AN114" s="15"/>
      <c r="AO114" s="15"/>
      <c r="AP114" s="15"/>
      <c r="AQ114" s="15"/>
    </row>
    <row r="115" spans="1:44" s="15" customFormat="1" ht="18" hidden="1" customHeight="1" x14ac:dyDescent="0.25">
      <c r="A115" s="16" t="s">
        <v>611</v>
      </c>
      <c r="B115" s="6">
        <v>25358</v>
      </c>
      <c r="C115" s="5">
        <v>55000</v>
      </c>
      <c r="D115" s="6" t="s">
        <v>48</v>
      </c>
      <c r="E115" s="6" t="s">
        <v>612</v>
      </c>
      <c r="F115" s="6" t="s">
        <v>613</v>
      </c>
      <c r="G115" s="6" t="s">
        <v>119</v>
      </c>
      <c r="H115" s="11" t="s">
        <v>37</v>
      </c>
      <c r="I115" s="11" t="s">
        <v>281</v>
      </c>
      <c r="J115" s="11" t="s">
        <v>120</v>
      </c>
      <c r="K115" s="11"/>
      <c r="L115" s="7">
        <v>45342</v>
      </c>
      <c r="M115" s="7" t="s">
        <v>99</v>
      </c>
      <c r="N115" s="6" t="s">
        <v>40</v>
      </c>
      <c r="O115" s="13">
        <f>6300+400</f>
        <v>6700</v>
      </c>
      <c r="P115" s="6" t="s">
        <v>41</v>
      </c>
      <c r="Q115" s="36">
        <f>+O115/C115</f>
        <v>0.12181818181818181</v>
      </c>
      <c r="R115" s="7">
        <v>45378</v>
      </c>
      <c r="S115" s="41" t="s">
        <v>65</v>
      </c>
      <c r="T115" s="20">
        <v>45394</v>
      </c>
      <c r="U115" s="46" t="s">
        <v>178</v>
      </c>
      <c r="V115" s="7">
        <v>45398</v>
      </c>
      <c r="W115" s="11" t="s">
        <v>45</v>
      </c>
      <c r="X115" s="236">
        <f>112750-11275</f>
        <v>101475</v>
      </c>
      <c r="Y115" s="11" t="s">
        <v>341</v>
      </c>
      <c r="Z115" s="11"/>
      <c r="AA115" s="11"/>
      <c r="AB115" s="71">
        <v>45397</v>
      </c>
      <c r="AC115" s="7">
        <v>45394</v>
      </c>
      <c r="AD115" s="48" t="s">
        <v>614</v>
      </c>
      <c r="AE115" s="71">
        <v>45383</v>
      </c>
    </row>
    <row r="116" spans="1:44" ht="18" hidden="1" customHeight="1" x14ac:dyDescent="0.25">
      <c r="A116" s="97" t="s">
        <v>615</v>
      </c>
      <c r="B116" s="98">
        <v>25527</v>
      </c>
      <c r="C116" s="99">
        <v>44000</v>
      </c>
      <c r="D116" s="100" t="s">
        <v>105</v>
      </c>
      <c r="E116" s="101" t="s">
        <v>616</v>
      </c>
      <c r="F116" s="100" t="s">
        <v>617</v>
      </c>
      <c r="G116" s="100" t="s">
        <v>119</v>
      </c>
      <c r="H116" s="100" t="s">
        <v>51</v>
      </c>
      <c r="I116" s="108"/>
      <c r="J116" s="108" t="s">
        <v>156</v>
      </c>
      <c r="K116" s="108"/>
      <c r="L116" s="102">
        <v>45352</v>
      </c>
      <c r="M116" s="103"/>
      <c r="N116" s="98"/>
      <c r="O116" s="105"/>
      <c r="P116" s="98"/>
      <c r="Q116" s="123"/>
      <c r="R116" s="102">
        <v>45389</v>
      </c>
      <c r="S116" s="123" t="s">
        <v>618</v>
      </c>
      <c r="T116" s="102">
        <v>45398</v>
      </c>
      <c r="U116" s="100" t="s">
        <v>178</v>
      </c>
      <c r="V116" s="102">
        <v>45399</v>
      </c>
      <c r="W116" s="107" t="s">
        <v>45</v>
      </c>
      <c r="X116" s="62">
        <v>42800</v>
      </c>
      <c r="Y116" s="108" t="s">
        <v>341</v>
      </c>
      <c r="Z116" s="108"/>
      <c r="AA116" s="78"/>
      <c r="AB116" s="71">
        <v>45392</v>
      </c>
      <c r="AC116" s="71">
        <v>45395</v>
      </c>
      <c r="AD116" s="79" t="s">
        <v>614</v>
      </c>
      <c r="AE116" s="71">
        <v>45402</v>
      </c>
    </row>
    <row r="117" spans="1:44" ht="18" hidden="1" customHeight="1" x14ac:dyDescent="0.25">
      <c r="A117" s="97" t="s">
        <v>615</v>
      </c>
      <c r="B117" s="98">
        <v>25528</v>
      </c>
      <c r="C117" s="99">
        <v>44000</v>
      </c>
      <c r="D117" s="100" t="s">
        <v>105</v>
      </c>
      <c r="E117" s="101" t="s">
        <v>616</v>
      </c>
      <c r="F117" s="100" t="s">
        <v>619</v>
      </c>
      <c r="G117" s="100" t="s">
        <v>119</v>
      </c>
      <c r="H117" s="100" t="s">
        <v>51</v>
      </c>
      <c r="I117" s="108"/>
      <c r="J117" s="108" t="s">
        <v>156</v>
      </c>
      <c r="K117" s="108"/>
      <c r="L117" s="102">
        <v>45352</v>
      </c>
      <c r="M117" s="103"/>
      <c r="N117" s="98"/>
      <c r="O117" s="105"/>
      <c r="P117" s="98"/>
      <c r="Q117" s="123"/>
      <c r="R117" s="102">
        <v>45389</v>
      </c>
      <c r="S117" s="123" t="s">
        <v>618</v>
      </c>
      <c r="T117" s="102">
        <v>45398</v>
      </c>
      <c r="U117" s="100" t="s">
        <v>178</v>
      </c>
      <c r="V117" s="102">
        <v>45399</v>
      </c>
      <c r="W117" s="107" t="s">
        <v>334</v>
      </c>
      <c r="X117" s="62">
        <v>42800</v>
      </c>
      <c r="Y117" s="108" t="s">
        <v>341</v>
      </c>
      <c r="Z117" s="108"/>
      <c r="AA117" s="78"/>
      <c r="AB117" s="71">
        <v>45392</v>
      </c>
      <c r="AC117" s="71">
        <v>45395</v>
      </c>
      <c r="AD117" s="79" t="s">
        <v>614</v>
      </c>
      <c r="AE117" s="71">
        <v>45402</v>
      </c>
    </row>
    <row r="118" spans="1:44" ht="18" hidden="1" customHeight="1" x14ac:dyDescent="0.25">
      <c r="A118" s="166" t="s">
        <v>367</v>
      </c>
      <c r="B118" s="133">
        <v>25066</v>
      </c>
      <c r="C118" s="139">
        <v>55000</v>
      </c>
      <c r="D118" s="134" t="s">
        <v>48</v>
      </c>
      <c r="E118" s="140" t="s">
        <v>620</v>
      </c>
      <c r="F118" s="135" t="s">
        <v>621</v>
      </c>
      <c r="G118" s="135" t="s">
        <v>345</v>
      </c>
      <c r="H118" s="141" t="s">
        <v>109</v>
      </c>
      <c r="I118" s="141"/>
      <c r="J118" s="141" t="s">
        <v>75</v>
      </c>
      <c r="K118" s="141"/>
      <c r="L118" s="64">
        <v>45313</v>
      </c>
      <c r="M118" s="136"/>
      <c r="N118" s="167" t="s">
        <v>40</v>
      </c>
      <c r="O118" s="177">
        <v>575</v>
      </c>
      <c r="P118" s="167" t="s">
        <v>80</v>
      </c>
      <c r="Q118" s="156">
        <f>+O118/C118</f>
        <v>1.0454545454545454E-2</v>
      </c>
      <c r="R118" s="64">
        <v>45367</v>
      </c>
      <c r="S118" s="156" t="s">
        <v>65</v>
      </c>
      <c r="T118" s="64">
        <v>45398</v>
      </c>
      <c r="U118" s="241" t="s">
        <v>76</v>
      </c>
      <c r="V118" s="64">
        <v>45399</v>
      </c>
      <c r="W118" s="137" t="s">
        <v>45</v>
      </c>
      <c r="X118" s="236">
        <v>75513</v>
      </c>
      <c r="Y118" s="138" t="s">
        <v>341</v>
      </c>
      <c r="Z118" s="743"/>
      <c r="AA118" s="143"/>
      <c r="AB118" s="71">
        <v>45398</v>
      </c>
      <c r="AC118" s="71">
        <v>45398</v>
      </c>
      <c r="AD118" s="128"/>
      <c r="AE118" s="71">
        <v>45402</v>
      </c>
    </row>
    <row r="119" spans="1:44" ht="18" hidden="1" customHeight="1" x14ac:dyDescent="0.25">
      <c r="A119" s="163" t="s">
        <v>622</v>
      </c>
      <c r="B119" s="144">
        <v>25077</v>
      </c>
      <c r="C119" s="145">
        <v>2500</v>
      </c>
      <c r="D119" s="146" t="s">
        <v>48</v>
      </c>
      <c r="E119" s="147" t="s">
        <v>389</v>
      </c>
      <c r="F119" s="146"/>
      <c r="G119" s="146"/>
      <c r="H119" s="186" t="s">
        <v>109</v>
      </c>
      <c r="I119" s="186"/>
      <c r="J119" s="186" t="s">
        <v>75</v>
      </c>
      <c r="K119" s="186"/>
      <c r="L119" s="185">
        <v>45313</v>
      </c>
      <c r="M119" s="183"/>
      <c r="N119" s="187"/>
      <c r="O119" s="188"/>
      <c r="P119" s="187"/>
      <c r="Q119" s="184"/>
      <c r="R119" s="185"/>
      <c r="S119" s="184"/>
      <c r="T119" s="240"/>
      <c r="U119" s="222"/>
      <c r="V119" s="64">
        <v>45399</v>
      </c>
      <c r="W119" s="223" t="s">
        <v>45</v>
      </c>
      <c r="X119" s="236">
        <v>46750</v>
      </c>
      <c r="Y119" s="150" t="s">
        <v>341</v>
      </c>
      <c r="Z119" s="744"/>
      <c r="AA119" s="151"/>
      <c r="AB119" s="71">
        <v>45398</v>
      </c>
      <c r="AC119" s="71">
        <v>45398</v>
      </c>
      <c r="AD119" s="128"/>
      <c r="AE119" s="71">
        <v>45402</v>
      </c>
    </row>
    <row r="120" spans="1:44" ht="15.75" hidden="1" customHeight="1" x14ac:dyDescent="0.25">
      <c r="A120" s="120" t="s">
        <v>623</v>
      </c>
      <c r="B120" s="6">
        <v>23918</v>
      </c>
      <c r="C120" s="5">
        <v>44000</v>
      </c>
      <c r="D120" s="6" t="s">
        <v>105</v>
      </c>
      <c r="E120" s="116" t="s">
        <v>537</v>
      </c>
      <c r="F120" s="6" t="s">
        <v>624</v>
      </c>
      <c r="G120" s="4" t="s">
        <v>108</v>
      </c>
      <c r="H120" s="6" t="s">
        <v>51</v>
      </c>
      <c r="I120" s="6"/>
      <c r="J120" s="6" t="s">
        <v>247</v>
      </c>
      <c r="K120" s="45"/>
      <c r="L120" s="65">
        <v>45337</v>
      </c>
      <c r="M120" s="11"/>
      <c r="N120" s="6" t="s">
        <v>40</v>
      </c>
      <c r="O120" s="13">
        <v>575</v>
      </c>
      <c r="P120" s="6" t="s">
        <v>80</v>
      </c>
      <c r="Q120" s="41">
        <f>+O120/C120</f>
        <v>1.3068181818181817E-2</v>
      </c>
      <c r="R120" s="7"/>
      <c r="S120" s="41"/>
      <c r="T120" s="7">
        <v>45398</v>
      </c>
      <c r="U120" s="67" t="s">
        <v>43</v>
      </c>
      <c r="V120" s="7">
        <v>45401</v>
      </c>
      <c r="W120" s="10" t="s">
        <v>45</v>
      </c>
      <c r="X120" s="236">
        <v>21400</v>
      </c>
      <c r="Y120" s="11" t="s">
        <v>341</v>
      </c>
      <c r="Z120" s="11"/>
      <c r="AA120" s="63"/>
      <c r="AB120" s="7">
        <v>45400</v>
      </c>
      <c r="AC120" s="7">
        <v>45399</v>
      </c>
      <c r="AD120" s="96"/>
      <c r="AE120" s="71">
        <v>45402</v>
      </c>
    </row>
    <row r="121" spans="1:44" s="233" customFormat="1" ht="18" hidden="1" customHeight="1" x14ac:dyDescent="0.25">
      <c r="A121" s="115" t="s">
        <v>625</v>
      </c>
      <c r="B121" s="130">
        <v>25340</v>
      </c>
      <c r="C121" s="5">
        <v>35000</v>
      </c>
      <c r="D121" s="6" t="s">
        <v>105</v>
      </c>
      <c r="E121" s="234" t="s">
        <v>626</v>
      </c>
      <c r="F121" s="6" t="s">
        <v>627</v>
      </c>
      <c r="G121" s="4" t="s">
        <v>108</v>
      </c>
      <c r="H121" s="11" t="s">
        <v>37</v>
      </c>
      <c r="I121" s="11"/>
      <c r="J121" s="11" t="s">
        <v>628</v>
      </c>
      <c r="K121" s="11"/>
      <c r="L121" s="7">
        <v>45330</v>
      </c>
      <c r="M121" s="127" t="s">
        <v>339</v>
      </c>
      <c r="N121" s="6" t="s">
        <v>40</v>
      </c>
      <c r="O121" s="131">
        <f>2471+400</f>
        <v>2871</v>
      </c>
      <c r="P121" s="6" t="s">
        <v>41</v>
      </c>
      <c r="Q121" s="41">
        <f>+O121/C121</f>
        <v>8.2028571428571423E-2</v>
      </c>
      <c r="R121" s="7"/>
      <c r="S121" s="7"/>
      <c r="T121" s="7">
        <v>45398</v>
      </c>
      <c r="U121" s="6" t="s">
        <v>43</v>
      </c>
      <c r="V121" s="7">
        <v>45404</v>
      </c>
      <c r="W121" s="10" t="s">
        <v>45</v>
      </c>
      <c r="X121" s="236">
        <v>84800</v>
      </c>
      <c r="Y121" s="11" t="s">
        <v>341</v>
      </c>
      <c r="Z121" s="11"/>
      <c r="AA121" s="63"/>
      <c r="AB121" s="7">
        <v>45401</v>
      </c>
      <c r="AC121" s="7">
        <v>45399</v>
      </c>
      <c r="AD121" s="79"/>
      <c r="AE121" s="71">
        <v>45412</v>
      </c>
    </row>
    <row r="122" spans="1:44" s="15" customFormat="1" ht="18" hidden="1" customHeight="1" x14ac:dyDescent="0.25">
      <c r="A122" s="209" t="s">
        <v>629</v>
      </c>
      <c r="B122" s="6">
        <v>25794</v>
      </c>
      <c r="C122" s="44">
        <v>44000</v>
      </c>
      <c r="D122" s="4" t="s">
        <v>105</v>
      </c>
      <c r="E122" s="6" t="s">
        <v>630</v>
      </c>
      <c r="F122" s="6" t="s">
        <v>631</v>
      </c>
      <c r="G122" s="6" t="s">
        <v>36</v>
      </c>
      <c r="H122" s="11" t="s">
        <v>37</v>
      </c>
      <c r="I122" s="11" t="s">
        <v>97</v>
      </c>
      <c r="J122" s="11" t="s">
        <v>98</v>
      </c>
      <c r="K122" s="11"/>
      <c r="L122" s="7">
        <v>45373</v>
      </c>
      <c r="M122" s="7" t="s">
        <v>99</v>
      </c>
      <c r="N122" s="6" t="s">
        <v>40</v>
      </c>
      <c r="O122" s="13">
        <f>1690+30+15+400</f>
        <v>2135</v>
      </c>
      <c r="P122" s="6" t="s">
        <v>41</v>
      </c>
      <c r="Q122" s="41">
        <f>+O122/C122</f>
        <v>4.8522727272727273E-2</v>
      </c>
      <c r="R122" s="221"/>
      <c r="S122" s="161"/>
      <c r="T122" s="7">
        <v>45398</v>
      </c>
      <c r="U122" s="46" t="s">
        <v>43</v>
      </c>
      <c r="V122" s="7">
        <v>45404</v>
      </c>
      <c r="W122" s="10" t="s">
        <v>45</v>
      </c>
      <c r="X122" s="236">
        <v>55488</v>
      </c>
      <c r="Y122" s="11" t="s">
        <v>68</v>
      </c>
      <c r="Z122" s="11"/>
      <c r="AA122" s="7">
        <v>45401</v>
      </c>
      <c r="AB122" s="7">
        <v>45401</v>
      </c>
      <c r="AC122" s="71">
        <v>45399</v>
      </c>
      <c r="AD122" s="38"/>
      <c r="AE122" s="71">
        <v>45399</v>
      </c>
    </row>
    <row r="123" spans="1:44" ht="18" hidden="1" customHeight="1" x14ac:dyDescent="0.25">
      <c r="A123" s="97" t="s">
        <v>511</v>
      </c>
      <c r="B123" s="98">
        <v>25866</v>
      </c>
      <c r="C123" s="99">
        <v>44000</v>
      </c>
      <c r="D123" s="100" t="s">
        <v>105</v>
      </c>
      <c r="E123" s="101" t="s">
        <v>512</v>
      </c>
      <c r="F123" s="100" t="s">
        <v>632</v>
      </c>
      <c r="G123" s="100" t="s">
        <v>36</v>
      </c>
      <c r="H123" s="108" t="s">
        <v>37</v>
      </c>
      <c r="I123" s="108" t="s">
        <v>97</v>
      </c>
      <c r="J123" s="108" t="s">
        <v>98</v>
      </c>
      <c r="K123" s="108"/>
      <c r="L123" s="102">
        <v>45378</v>
      </c>
      <c r="M123" s="103" t="s">
        <v>99</v>
      </c>
      <c r="N123" s="98" t="s">
        <v>40</v>
      </c>
      <c r="O123" s="105">
        <f>1690+30+15+400</f>
        <v>2135</v>
      </c>
      <c r="P123" s="98" t="s">
        <v>41</v>
      </c>
      <c r="Q123" s="123">
        <f>+O123/C123</f>
        <v>4.8522727272727273E-2</v>
      </c>
      <c r="R123" s="102"/>
      <c r="S123" s="123"/>
      <c r="T123" s="102">
        <v>45400</v>
      </c>
      <c r="U123" s="100" t="s">
        <v>43</v>
      </c>
      <c r="V123" s="102">
        <v>45404</v>
      </c>
      <c r="W123" s="107" t="s">
        <v>633</v>
      </c>
      <c r="X123" s="62">
        <v>61500</v>
      </c>
      <c r="Y123" s="108" t="s">
        <v>68</v>
      </c>
      <c r="Z123" s="108"/>
      <c r="AA123" s="7">
        <v>45401</v>
      </c>
      <c r="AB123" s="7">
        <v>45401</v>
      </c>
      <c r="AC123" s="71">
        <v>45399</v>
      </c>
      <c r="AD123" s="79"/>
      <c r="AE123" s="71">
        <v>45399</v>
      </c>
    </row>
    <row r="124" spans="1:44" s="30" customFormat="1" ht="18" hidden="1" customHeight="1" x14ac:dyDescent="0.25">
      <c r="A124" s="109" t="s">
        <v>248</v>
      </c>
      <c r="B124" s="22">
        <v>25590</v>
      </c>
      <c r="C124" s="23">
        <v>40950</v>
      </c>
      <c r="D124" s="22" t="s">
        <v>249</v>
      </c>
      <c r="E124" s="22" t="s">
        <v>250</v>
      </c>
      <c r="F124" s="22"/>
      <c r="G124" s="22"/>
      <c r="H124" s="22" t="s">
        <v>60</v>
      </c>
      <c r="I124" s="24"/>
      <c r="J124" s="22" t="s">
        <v>62</v>
      </c>
      <c r="K124" s="22"/>
      <c r="L124" s="25">
        <v>45376</v>
      </c>
      <c r="M124" s="25"/>
      <c r="N124" s="22"/>
      <c r="O124" s="26"/>
      <c r="P124" s="22"/>
      <c r="Q124" s="27"/>
      <c r="R124" s="27"/>
      <c r="S124" s="27"/>
      <c r="T124" s="25">
        <v>45400</v>
      </c>
      <c r="U124" s="28" t="s">
        <v>66</v>
      </c>
      <c r="V124" s="25">
        <v>45404</v>
      </c>
      <c r="W124" s="24" t="s">
        <v>45</v>
      </c>
      <c r="X124" s="29">
        <v>69615</v>
      </c>
      <c r="Y124" s="24" t="s">
        <v>215</v>
      </c>
      <c r="Z124" s="24"/>
      <c r="AA124" s="78"/>
      <c r="AB124" s="78"/>
      <c r="AC124" s="71">
        <v>45402</v>
      </c>
      <c r="AD124" s="48"/>
      <c r="AE124" s="112" t="s">
        <v>378</v>
      </c>
      <c r="AF124" s="15"/>
      <c r="AG124" s="15"/>
      <c r="AH124" s="15"/>
      <c r="AI124" s="15"/>
      <c r="AJ124" s="15"/>
      <c r="AK124" s="15"/>
      <c r="AL124" s="15"/>
      <c r="AM124" s="15"/>
      <c r="AN124" s="15"/>
      <c r="AO124" s="15"/>
    </row>
    <row r="125" spans="1:44" s="30" customFormat="1" ht="18" hidden="1" customHeight="1" x14ac:dyDescent="0.25">
      <c r="A125" s="109" t="s">
        <v>259</v>
      </c>
      <c r="B125" s="22">
        <v>24553</v>
      </c>
      <c r="C125" s="23">
        <v>40500</v>
      </c>
      <c r="D125" s="22" t="s">
        <v>249</v>
      </c>
      <c r="E125" s="22" t="s">
        <v>260</v>
      </c>
      <c r="F125" s="22"/>
      <c r="G125" s="22"/>
      <c r="H125" s="24" t="s">
        <v>37</v>
      </c>
      <c r="I125" s="24" t="s">
        <v>261</v>
      </c>
      <c r="J125" s="24" t="s">
        <v>53</v>
      </c>
      <c r="K125" s="24"/>
      <c r="L125" s="25">
        <v>45407</v>
      </c>
      <c r="M125" s="25"/>
      <c r="N125" s="22"/>
      <c r="O125" s="26"/>
      <c r="P125" s="22"/>
      <c r="Q125" s="27"/>
      <c r="R125" s="217"/>
      <c r="S125" s="27"/>
      <c r="T125" s="24"/>
      <c r="U125" s="28" t="s">
        <v>66</v>
      </c>
      <c r="V125" s="25">
        <v>45407</v>
      </c>
      <c r="W125" s="24" t="s">
        <v>45</v>
      </c>
      <c r="X125" s="29">
        <v>55485</v>
      </c>
      <c r="Y125" s="24" t="s">
        <v>215</v>
      </c>
      <c r="Z125" s="24"/>
      <c r="AA125" s="78"/>
      <c r="AB125" s="78"/>
      <c r="AC125" s="78"/>
      <c r="AD125" s="6" t="s">
        <v>634</v>
      </c>
      <c r="AE125" s="71" t="s">
        <v>378</v>
      </c>
      <c r="AF125" s="15"/>
      <c r="AG125" s="15"/>
      <c r="AH125" s="15"/>
      <c r="AI125" s="15"/>
      <c r="AJ125" s="15"/>
      <c r="AK125" s="15"/>
      <c r="AL125" s="15"/>
      <c r="AM125" s="15"/>
      <c r="AN125" s="15"/>
      <c r="AO125" s="15"/>
      <c r="AP125" s="15"/>
      <c r="AQ125" s="15"/>
      <c r="AR125" s="15"/>
    </row>
    <row r="126" spans="1:44" s="30" customFormat="1" ht="18" hidden="1" customHeight="1" x14ac:dyDescent="0.25">
      <c r="A126" s="21" t="s">
        <v>259</v>
      </c>
      <c r="B126" s="22">
        <v>25623</v>
      </c>
      <c r="C126" s="23">
        <v>5075</v>
      </c>
      <c r="D126" s="22" t="s">
        <v>264</v>
      </c>
      <c r="E126" s="22" t="s">
        <v>519</v>
      </c>
      <c r="F126" s="22"/>
      <c r="G126" s="22"/>
      <c r="H126" s="24" t="s">
        <v>37</v>
      </c>
      <c r="I126" s="24" t="s">
        <v>261</v>
      </c>
      <c r="J126" s="24" t="s">
        <v>53</v>
      </c>
      <c r="K126" s="24"/>
      <c r="L126" s="25">
        <v>45407</v>
      </c>
      <c r="M126" s="25"/>
      <c r="N126" s="22"/>
      <c r="O126" s="26"/>
      <c r="P126" s="22"/>
      <c r="Q126" s="27"/>
      <c r="R126" s="217"/>
      <c r="S126" s="27"/>
      <c r="T126" s="24"/>
      <c r="U126" s="28" t="s">
        <v>66</v>
      </c>
      <c r="V126" s="25">
        <v>45407</v>
      </c>
      <c r="W126" s="24" t="s">
        <v>45</v>
      </c>
      <c r="X126" s="29">
        <v>9336</v>
      </c>
      <c r="Y126" s="24" t="s">
        <v>215</v>
      </c>
      <c r="Z126" s="24"/>
      <c r="AA126" s="78"/>
      <c r="AB126" s="78"/>
      <c r="AC126" s="78"/>
      <c r="AD126" s="242"/>
      <c r="AE126" s="71" t="s">
        <v>378</v>
      </c>
      <c r="AF126" s="15"/>
      <c r="AG126" s="15"/>
      <c r="AH126" s="15"/>
      <c r="AI126" s="15"/>
      <c r="AJ126" s="15"/>
      <c r="AK126" s="15"/>
      <c r="AL126" s="15"/>
      <c r="AM126" s="15"/>
      <c r="AN126" s="15"/>
      <c r="AO126" s="15"/>
      <c r="AP126" s="15"/>
      <c r="AQ126" s="15"/>
      <c r="AR126" s="15"/>
    </row>
    <row r="127" spans="1:44" s="30" customFormat="1" ht="18" hidden="1" customHeight="1" x14ac:dyDescent="0.25">
      <c r="A127" s="21" t="s">
        <v>560</v>
      </c>
      <c r="B127" s="22">
        <v>25989</v>
      </c>
      <c r="C127" s="23">
        <v>6840</v>
      </c>
      <c r="D127" s="22">
        <v>5</v>
      </c>
      <c r="E127" s="22" t="s">
        <v>635</v>
      </c>
      <c r="F127" s="22"/>
      <c r="G127" s="22"/>
      <c r="H127" s="24"/>
      <c r="I127" s="24"/>
      <c r="J127" s="24"/>
      <c r="K127" s="24"/>
      <c r="L127" s="237"/>
      <c r="M127" s="25"/>
      <c r="N127" s="22" t="s">
        <v>458</v>
      </c>
      <c r="O127" s="26">
        <v>1095</v>
      </c>
      <c r="P127" s="22" t="s">
        <v>80</v>
      </c>
      <c r="Q127" s="27"/>
      <c r="R127" s="217"/>
      <c r="S127" s="27"/>
      <c r="T127" s="24"/>
      <c r="U127" s="28" t="s">
        <v>66</v>
      </c>
      <c r="V127" s="25">
        <v>45408</v>
      </c>
      <c r="W127" s="24" t="s">
        <v>45</v>
      </c>
      <c r="X127" s="29">
        <v>13190</v>
      </c>
      <c r="Y127" s="24" t="s">
        <v>215</v>
      </c>
      <c r="Z127" s="24"/>
      <c r="AA127" s="78"/>
      <c r="AB127" s="78"/>
      <c r="AC127" s="71">
        <v>45406</v>
      </c>
      <c r="AD127" s="48"/>
      <c r="AE127" s="71">
        <v>45414</v>
      </c>
      <c r="AF127" s="15"/>
      <c r="AG127" s="15"/>
      <c r="AH127" s="15"/>
      <c r="AI127" s="15"/>
      <c r="AJ127" s="15"/>
      <c r="AK127" s="15"/>
      <c r="AL127" s="15"/>
      <c r="AM127" s="15"/>
      <c r="AN127" s="15"/>
      <c r="AO127" s="15"/>
      <c r="AP127" s="15"/>
    </row>
    <row r="128" spans="1:44" s="15" customFormat="1" ht="18" hidden="1" customHeight="1" x14ac:dyDescent="0.25">
      <c r="A128" s="209" t="s">
        <v>636</v>
      </c>
      <c r="B128" s="6">
        <v>25139</v>
      </c>
      <c r="C128" s="44">
        <v>36740</v>
      </c>
      <c r="D128" s="4" t="s">
        <v>105</v>
      </c>
      <c r="E128" s="6" t="s">
        <v>637</v>
      </c>
      <c r="F128" s="6" t="s">
        <v>638</v>
      </c>
      <c r="G128" s="6" t="s">
        <v>36</v>
      </c>
      <c r="H128" s="11" t="s">
        <v>37</v>
      </c>
      <c r="I128" s="11" t="s">
        <v>182</v>
      </c>
      <c r="J128" s="11" t="s">
        <v>183</v>
      </c>
      <c r="K128" s="11"/>
      <c r="L128" s="7">
        <v>45344</v>
      </c>
      <c r="M128" s="7" t="s">
        <v>414</v>
      </c>
      <c r="N128" s="6" t="s">
        <v>40</v>
      </c>
      <c r="O128" s="131">
        <f>5002.5+575</f>
        <v>5577.5</v>
      </c>
      <c r="P128" s="6" t="s">
        <v>41</v>
      </c>
      <c r="Q128" s="41">
        <f t="shared" ref="Q128:Q135" si="3">+O128/C128</f>
        <v>0.15181001633097441</v>
      </c>
      <c r="R128" s="7">
        <v>45390</v>
      </c>
      <c r="S128" s="156" t="s">
        <v>65</v>
      </c>
      <c r="T128" s="7">
        <v>45407</v>
      </c>
      <c r="U128" s="189" t="s">
        <v>76</v>
      </c>
      <c r="V128" s="7">
        <v>45408</v>
      </c>
      <c r="W128" s="10" t="s">
        <v>45</v>
      </c>
      <c r="X128" s="236">
        <v>63470</v>
      </c>
      <c r="Y128" s="11" t="s">
        <v>68</v>
      </c>
      <c r="Z128" s="11"/>
      <c r="AA128" s="7">
        <v>45406</v>
      </c>
      <c r="AB128" s="71">
        <v>45407</v>
      </c>
      <c r="AC128" s="71">
        <v>45408</v>
      </c>
      <c r="AD128" s="38"/>
      <c r="AE128" s="71">
        <v>45415</v>
      </c>
    </row>
    <row r="129" spans="1:46" s="15" customFormat="1" ht="18" hidden="1" customHeight="1" x14ac:dyDescent="0.25">
      <c r="A129" s="16" t="s">
        <v>639</v>
      </c>
      <c r="B129" s="6">
        <v>25462</v>
      </c>
      <c r="C129" s="5">
        <v>35000</v>
      </c>
      <c r="D129" s="6" t="s">
        <v>105</v>
      </c>
      <c r="E129" s="6" t="s">
        <v>640</v>
      </c>
      <c r="F129" s="6" t="s">
        <v>641</v>
      </c>
      <c r="G129" s="6" t="s">
        <v>36</v>
      </c>
      <c r="H129" s="11" t="s">
        <v>37</v>
      </c>
      <c r="I129" s="11" t="s">
        <v>281</v>
      </c>
      <c r="J129" s="11" t="s">
        <v>120</v>
      </c>
      <c r="K129" s="11"/>
      <c r="L129" s="7">
        <v>45358</v>
      </c>
      <c r="M129" s="7" t="s">
        <v>99</v>
      </c>
      <c r="N129" s="6" t="s">
        <v>40</v>
      </c>
      <c r="O129" s="13">
        <f>5230+400</f>
        <v>5630</v>
      </c>
      <c r="P129" s="6" t="s">
        <v>41</v>
      </c>
      <c r="Q129" s="36">
        <f t="shared" si="3"/>
        <v>0.16085714285714287</v>
      </c>
      <c r="R129" s="7">
        <v>45390</v>
      </c>
      <c r="S129" s="41" t="s">
        <v>65</v>
      </c>
      <c r="T129" s="7">
        <v>45407</v>
      </c>
      <c r="U129" s="46" t="s">
        <v>76</v>
      </c>
      <c r="V129" s="7">
        <v>45408</v>
      </c>
      <c r="W129" s="11" t="s">
        <v>45</v>
      </c>
      <c r="X129" s="236">
        <f>127750-19163</f>
        <v>108587</v>
      </c>
      <c r="Y129" s="11" t="s">
        <v>68</v>
      </c>
      <c r="Z129" s="11"/>
      <c r="AA129" s="7">
        <v>45406</v>
      </c>
      <c r="AB129" s="71">
        <v>45407</v>
      </c>
      <c r="AC129" s="71">
        <v>45408</v>
      </c>
      <c r="AD129" s="48"/>
      <c r="AE129" s="71">
        <v>45392</v>
      </c>
    </row>
    <row r="130" spans="1:46" ht="18" hidden="1" customHeight="1" x14ac:dyDescent="0.25">
      <c r="A130" s="97" t="s">
        <v>642</v>
      </c>
      <c r="B130" s="98">
        <v>25311</v>
      </c>
      <c r="C130" s="99">
        <v>55000</v>
      </c>
      <c r="D130" s="100" t="s">
        <v>48</v>
      </c>
      <c r="E130" s="101" t="s">
        <v>643</v>
      </c>
      <c r="F130" s="100" t="s">
        <v>644</v>
      </c>
      <c r="G130" s="100" t="s">
        <v>36</v>
      </c>
      <c r="H130" s="108" t="s">
        <v>37</v>
      </c>
      <c r="I130" s="108" t="s">
        <v>281</v>
      </c>
      <c r="J130" s="108" t="s">
        <v>120</v>
      </c>
      <c r="K130" s="108"/>
      <c r="L130" s="102">
        <v>45358</v>
      </c>
      <c r="M130" s="103" t="s">
        <v>99</v>
      </c>
      <c r="N130" s="98" t="s">
        <v>40</v>
      </c>
      <c r="O130" s="105">
        <f>6300+400</f>
        <v>6700</v>
      </c>
      <c r="P130" s="98" t="s">
        <v>41</v>
      </c>
      <c r="Q130" s="123">
        <f t="shared" si="3"/>
        <v>0.12181818181818181</v>
      </c>
      <c r="R130" s="102">
        <v>45390</v>
      </c>
      <c r="S130" s="123" t="s">
        <v>65</v>
      </c>
      <c r="T130" s="34">
        <v>45407</v>
      </c>
      <c r="U130" s="100" t="s">
        <v>76</v>
      </c>
      <c r="V130" s="102">
        <v>45404</v>
      </c>
      <c r="W130" s="107" t="s">
        <v>334</v>
      </c>
      <c r="X130" s="62">
        <f>112750-11275</f>
        <v>101475</v>
      </c>
      <c r="Y130" s="108" t="s">
        <v>341</v>
      </c>
      <c r="Z130" s="108"/>
      <c r="AA130" s="78"/>
      <c r="AB130" s="71">
        <v>45407</v>
      </c>
      <c r="AC130" s="71">
        <v>45408</v>
      </c>
      <c r="AD130" s="79"/>
      <c r="AE130" s="71">
        <v>45392</v>
      </c>
    </row>
    <row r="131" spans="1:46" s="2" customFormat="1" ht="18" hidden="1" customHeight="1" x14ac:dyDescent="0.25">
      <c r="A131" s="209" t="s">
        <v>203</v>
      </c>
      <c r="B131" s="6">
        <v>25588</v>
      </c>
      <c r="C131" s="5">
        <v>55000</v>
      </c>
      <c r="D131" s="6" t="s">
        <v>48</v>
      </c>
      <c r="E131" s="6" t="s">
        <v>645</v>
      </c>
      <c r="F131" s="6" t="s">
        <v>646</v>
      </c>
      <c r="G131" s="6" t="s">
        <v>36</v>
      </c>
      <c r="H131" s="6" t="s">
        <v>51</v>
      </c>
      <c r="I131" s="6" t="s">
        <v>647</v>
      </c>
      <c r="J131" s="6" t="s">
        <v>648</v>
      </c>
      <c r="K131" s="6"/>
      <c r="L131" s="7">
        <v>45368</v>
      </c>
      <c r="M131" s="7"/>
      <c r="N131" s="6" t="s">
        <v>40</v>
      </c>
      <c r="O131" s="13">
        <v>575</v>
      </c>
      <c r="P131" s="6" t="s">
        <v>80</v>
      </c>
      <c r="Q131" s="41">
        <f t="shared" si="3"/>
        <v>1.0454545454545454E-2</v>
      </c>
      <c r="R131" s="219"/>
      <c r="S131" s="36"/>
      <c r="T131" s="112">
        <v>45411</v>
      </c>
      <c r="U131" s="17" t="s">
        <v>43</v>
      </c>
      <c r="V131" s="7">
        <v>45412</v>
      </c>
      <c r="W131" s="10" t="s">
        <v>45</v>
      </c>
      <c r="X131" s="236">
        <v>21538</v>
      </c>
      <c r="Y131" s="11" t="s">
        <v>341</v>
      </c>
      <c r="Z131" s="745"/>
      <c r="AA131" s="155"/>
      <c r="AB131" s="71">
        <v>45412</v>
      </c>
      <c r="AC131" s="71">
        <v>45412</v>
      </c>
      <c r="AD131" s="38"/>
      <c r="AE131" s="71">
        <v>45416</v>
      </c>
      <c r="AF131" s="15"/>
      <c r="AG131" s="15"/>
      <c r="AH131" s="15"/>
      <c r="AI131" s="15"/>
    </row>
    <row r="132" spans="1:46" s="15" customFormat="1" ht="18" hidden="1" customHeight="1" x14ac:dyDescent="0.25">
      <c r="A132" s="226" t="s">
        <v>506</v>
      </c>
      <c r="B132" s="4">
        <v>24848</v>
      </c>
      <c r="C132" s="5">
        <v>55000</v>
      </c>
      <c r="D132" s="4" t="s">
        <v>33</v>
      </c>
      <c r="E132" s="12" t="s">
        <v>410</v>
      </c>
      <c r="F132" s="6" t="s">
        <v>649</v>
      </c>
      <c r="G132" s="6" t="s">
        <v>36</v>
      </c>
      <c r="H132" s="8" t="s">
        <v>37</v>
      </c>
      <c r="I132" s="8" t="s">
        <v>412</v>
      </c>
      <c r="J132" s="8" t="s">
        <v>413</v>
      </c>
      <c r="K132" s="8"/>
      <c r="L132" s="7">
        <v>45348</v>
      </c>
      <c r="M132" s="8" t="s">
        <v>99</v>
      </c>
      <c r="N132" s="6" t="s">
        <v>40</v>
      </c>
      <c r="O132" s="14">
        <f>6385+400</f>
        <v>6785</v>
      </c>
      <c r="P132" s="4" t="s">
        <v>41</v>
      </c>
      <c r="Q132" s="36">
        <f t="shared" si="3"/>
        <v>0.12336363636363637</v>
      </c>
      <c r="R132" s="7"/>
      <c r="S132" s="41"/>
      <c r="T132" s="7">
        <v>45411</v>
      </c>
      <c r="U132" s="67" t="s">
        <v>43</v>
      </c>
      <c r="V132" s="7">
        <v>45412</v>
      </c>
      <c r="W132" s="10" t="s">
        <v>45</v>
      </c>
      <c r="X132" s="236">
        <v>40500</v>
      </c>
      <c r="Y132" s="8" t="s">
        <v>68</v>
      </c>
      <c r="Z132" s="8"/>
      <c r="AA132" s="71">
        <v>45408</v>
      </c>
      <c r="AB132" s="71">
        <v>45412</v>
      </c>
      <c r="AC132" s="71">
        <v>45412</v>
      </c>
      <c r="AD132" s="11"/>
      <c r="AE132" s="7">
        <v>45412</v>
      </c>
    </row>
    <row r="133" spans="1:46" ht="18" hidden="1" customHeight="1" x14ac:dyDescent="0.2">
      <c r="A133" s="209" t="s">
        <v>650</v>
      </c>
      <c r="B133" s="6">
        <v>25729</v>
      </c>
      <c r="C133" s="44">
        <v>55000</v>
      </c>
      <c r="D133" s="6" t="s">
        <v>48</v>
      </c>
      <c r="E133" s="6" t="s">
        <v>651</v>
      </c>
      <c r="F133" s="4" t="s">
        <v>652</v>
      </c>
      <c r="G133" s="4" t="s">
        <v>653</v>
      </c>
      <c r="H133" s="45" t="s">
        <v>109</v>
      </c>
      <c r="I133" s="45"/>
      <c r="J133" s="45" t="s">
        <v>75</v>
      </c>
      <c r="K133" s="45"/>
      <c r="L133" s="7">
        <v>45376</v>
      </c>
      <c r="M133" s="7"/>
      <c r="N133" s="6" t="s">
        <v>40</v>
      </c>
      <c r="O133" s="13">
        <v>575</v>
      </c>
      <c r="P133" s="6" t="s">
        <v>80</v>
      </c>
      <c r="Q133" s="41">
        <f t="shared" si="3"/>
        <v>1.0454545454545454E-2</v>
      </c>
      <c r="R133" s="65">
        <v>45402</v>
      </c>
      <c r="S133" s="17" t="s">
        <v>65</v>
      </c>
      <c r="T133" s="7">
        <v>45411</v>
      </c>
      <c r="U133" s="46" t="s">
        <v>76</v>
      </c>
      <c r="V133" s="7">
        <v>45412</v>
      </c>
      <c r="W133" s="10" t="s">
        <v>45</v>
      </c>
      <c r="X133" s="236">
        <v>97500</v>
      </c>
      <c r="Y133" s="11" t="s">
        <v>341</v>
      </c>
      <c r="Z133" s="11"/>
      <c r="AA133" s="78"/>
      <c r="AB133" s="71">
        <v>45437</v>
      </c>
      <c r="AC133" s="7">
        <v>45411</v>
      </c>
      <c r="AD133" s="11"/>
      <c r="AE133" s="71">
        <v>45416</v>
      </c>
    </row>
    <row r="134" spans="1:46" s="2" customFormat="1" ht="18" hidden="1" customHeight="1" x14ac:dyDescent="0.25">
      <c r="A134" s="9" t="s">
        <v>654</v>
      </c>
      <c r="B134" s="4">
        <v>25778</v>
      </c>
      <c r="C134" s="5">
        <v>28820</v>
      </c>
      <c r="D134" s="4" t="s">
        <v>105</v>
      </c>
      <c r="E134" s="12" t="s">
        <v>655</v>
      </c>
      <c r="F134" s="6" t="s">
        <v>656</v>
      </c>
      <c r="G134" s="4" t="s">
        <v>130</v>
      </c>
      <c r="H134" s="8" t="s">
        <v>37</v>
      </c>
      <c r="I134" s="8" t="s">
        <v>657</v>
      </c>
      <c r="J134" s="8" t="s">
        <v>493</v>
      </c>
      <c r="K134" s="8"/>
      <c r="L134" s="7">
        <v>45389</v>
      </c>
      <c r="M134" s="8"/>
      <c r="N134" s="73" t="s">
        <v>40</v>
      </c>
      <c r="O134" s="14">
        <f>2900+400</f>
        <v>3300</v>
      </c>
      <c r="P134" s="4" t="s">
        <v>41</v>
      </c>
      <c r="Q134" s="36">
        <f t="shared" si="3"/>
        <v>0.11450381679389313</v>
      </c>
      <c r="R134" s="7">
        <v>45406</v>
      </c>
      <c r="S134" s="41" t="s">
        <v>658</v>
      </c>
      <c r="T134" s="7">
        <v>45412</v>
      </c>
      <c r="U134" s="67" t="s">
        <v>76</v>
      </c>
      <c r="V134" s="7">
        <v>45412</v>
      </c>
      <c r="W134" s="10" t="s">
        <v>45</v>
      </c>
      <c r="X134" s="236">
        <v>23383.5</v>
      </c>
      <c r="Y134" s="8" t="s">
        <v>329</v>
      </c>
      <c r="Z134" s="8"/>
      <c r="AA134" s="78"/>
      <c r="AB134" s="71">
        <v>45408</v>
      </c>
      <c r="AC134" s="7">
        <v>45411</v>
      </c>
      <c r="AD134" s="37"/>
      <c r="AE134" s="7">
        <v>45405</v>
      </c>
      <c r="AF134" s="15"/>
      <c r="AG134" s="15"/>
      <c r="AH134" s="15"/>
      <c r="AI134" s="15"/>
      <c r="AJ134" s="15"/>
      <c r="AK134" s="15"/>
    </row>
    <row r="135" spans="1:46" s="30" customFormat="1" ht="18" hidden="1" customHeight="1" x14ac:dyDescent="0.25">
      <c r="A135" s="21" t="s">
        <v>251</v>
      </c>
      <c r="B135" s="22">
        <v>24919</v>
      </c>
      <c r="C135" s="23">
        <v>40000</v>
      </c>
      <c r="D135" s="22" t="s">
        <v>249</v>
      </c>
      <c r="E135" s="22" t="s">
        <v>421</v>
      </c>
      <c r="F135" s="22"/>
      <c r="G135" s="22"/>
      <c r="H135" s="24" t="s">
        <v>37</v>
      </c>
      <c r="I135" s="24" t="s">
        <v>499</v>
      </c>
      <c r="J135" s="24" t="s">
        <v>62</v>
      </c>
      <c r="K135" s="24"/>
      <c r="L135" s="25">
        <v>45407</v>
      </c>
      <c r="M135" s="25"/>
      <c r="N135" s="22" t="s">
        <v>441</v>
      </c>
      <c r="O135" s="26">
        <v>6400</v>
      </c>
      <c r="P135" s="22" t="s">
        <v>80</v>
      </c>
      <c r="Q135" s="27">
        <f t="shared" si="3"/>
        <v>0.16</v>
      </c>
      <c r="R135" s="217"/>
      <c r="S135" s="27"/>
      <c r="T135" s="24"/>
      <c r="U135" s="28" t="s">
        <v>66</v>
      </c>
      <c r="V135" s="25">
        <v>45413</v>
      </c>
      <c r="W135" s="24" t="s">
        <v>45</v>
      </c>
      <c r="X135" s="29">
        <v>91125</v>
      </c>
      <c r="Y135" s="24" t="s">
        <v>215</v>
      </c>
      <c r="Z135" s="24"/>
      <c r="AA135" s="78"/>
      <c r="AB135" s="78"/>
      <c r="AC135" s="7">
        <v>45408</v>
      </c>
      <c r="AD135" s="43" t="s">
        <v>500</v>
      </c>
      <c r="AE135" s="71">
        <v>45413</v>
      </c>
      <c r="AF135" s="15"/>
      <c r="AG135" s="15"/>
      <c r="AH135" s="15"/>
      <c r="AI135" s="15"/>
      <c r="AJ135" s="15"/>
      <c r="AK135" s="15"/>
      <c r="AL135" s="15"/>
      <c r="AM135" s="15"/>
      <c r="AN135" s="15"/>
      <c r="AO135" s="15"/>
      <c r="AP135" s="15"/>
    </row>
    <row r="136" spans="1:46" s="30" customFormat="1" ht="18" hidden="1" customHeight="1" x14ac:dyDescent="0.25">
      <c r="A136" s="21" t="s">
        <v>659</v>
      </c>
      <c r="B136" s="22">
        <v>26301</v>
      </c>
      <c r="C136" s="243">
        <v>42000</v>
      </c>
      <c r="D136" s="22" t="s">
        <v>249</v>
      </c>
      <c r="E136" s="22" t="s">
        <v>660</v>
      </c>
      <c r="F136" s="22"/>
      <c r="G136" s="22"/>
      <c r="H136" s="55" t="s">
        <v>164</v>
      </c>
      <c r="I136" s="55" t="s">
        <v>661</v>
      </c>
      <c r="J136" s="55" t="s">
        <v>53</v>
      </c>
      <c r="K136" s="55"/>
      <c r="L136" s="25">
        <v>45413</v>
      </c>
      <c r="M136" s="25"/>
      <c r="N136" s="22"/>
      <c r="O136" s="26"/>
      <c r="P136" s="22"/>
      <c r="Q136" s="27"/>
      <c r="R136" s="244"/>
      <c r="S136" s="27"/>
      <c r="T136" s="24"/>
      <c r="U136" s="28" t="s">
        <v>66</v>
      </c>
      <c r="V136" s="25">
        <v>45413</v>
      </c>
      <c r="W136" s="24" t="s">
        <v>45</v>
      </c>
      <c r="X136" s="29">
        <v>59640</v>
      </c>
      <c r="Y136" s="24" t="s">
        <v>215</v>
      </c>
      <c r="Z136" s="24"/>
      <c r="AA136" s="78"/>
      <c r="AB136" s="78"/>
      <c r="AC136" s="78"/>
      <c r="AD136" s="43"/>
      <c r="AE136" s="71" t="s">
        <v>378</v>
      </c>
      <c r="AF136" s="15"/>
      <c r="AG136" s="15"/>
      <c r="AH136" s="15"/>
      <c r="AI136" s="15"/>
      <c r="AJ136" s="15"/>
      <c r="AK136" s="15"/>
      <c r="AL136" s="15"/>
      <c r="AM136" s="15"/>
      <c r="AN136" s="15"/>
      <c r="AO136" s="15"/>
      <c r="AP136" s="15"/>
    </row>
    <row r="137" spans="1:46" s="15" customFormat="1" ht="18" hidden="1" customHeight="1" x14ac:dyDescent="0.25">
      <c r="A137" s="209" t="s">
        <v>636</v>
      </c>
      <c r="B137" s="6">
        <v>25080</v>
      </c>
      <c r="C137" s="44">
        <v>36300</v>
      </c>
      <c r="D137" s="4" t="s">
        <v>105</v>
      </c>
      <c r="E137" s="6" t="s">
        <v>662</v>
      </c>
      <c r="F137" s="6" t="s">
        <v>663</v>
      </c>
      <c r="G137" s="6" t="s">
        <v>36</v>
      </c>
      <c r="H137" s="11" t="s">
        <v>37</v>
      </c>
      <c r="I137" s="11" t="s">
        <v>182</v>
      </c>
      <c r="J137" s="11" t="s">
        <v>183</v>
      </c>
      <c r="K137" s="11"/>
      <c r="L137" s="7">
        <v>45344</v>
      </c>
      <c r="M137" s="7" t="s">
        <v>414</v>
      </c>
      <c r="N137" s="6" t="s">
        <v>40</v>
      </c>
      <c r="O137" s="131">
        <f>5250+575</f>
        <v>5825</v>
      </c>
      <c r="P137" s="6" t="s">
        <v>41</v>
      </c>
      <c r="Q137" s="41">
        <f>+O137/C137</f>
        <v>0.16046831955922866</v>
      </c>
      <c r="R137" s="7">
        <v>45390</v>
      </c>
      <c r="S137" s="41" t="s">
        <v>65</v>
      </c>
      <c r="T137" s="7">
        <v>45414</v>
      </c>
      <c r="U137" s="189" t="s">
        <v>76</v>
      </c>
      <c r="V137" s="7">
        <v>45419</v>
      </c>
      <c r="W137" s="10" t="s">
        <v>45</v>
      </c>
      <c r="X137" s="114">
        <v>69750</v>
      </c>
      <c r="Y137" s="11" t="s">
        <v>68</v>
      </c>
      <c r="Z137" s="11"/>
      <c r="AA137" s="7">
        <v>45418</v>
      </c>
      <c r="AB137" s="7">
        <v>45418</v>
      </c>
      <c r="AC137" s="7">
        <v>45414</v>
      </c>
      <c r="AD137" s="38"/>
      <c r="AE137" s="71">
        <v>45419</v>
      </c>
    </row>
    <row r="138" spans="1:46" ht="18" hidden="1" customHeight="1" x14ac:dyDescent="0.2">
      <c r="A138" s="209" t="s">
        <v>650</v>
      </c>
      <c r="B138" s="6">
        <v>25518</v>
      </c>
      <c r="C138" s="44">
        <v>55000</v>
      </c>
      <c r="D138" s="6" t="s">
        <v>48</v>
      </c>
      <c r="E138" s="6" t="s">
        <v>664</v>
      </c>
      <c r="F138" s="6" t="s">
        <v>665</v>
      </c>
      <c r="G138" s="4" t="s">
        <v>369</v>
      </c>
      <c r="H138" s="45" t="s">
        <v>109</v>
      </c>
      <c r="I138" s="45"/>
      <c r="J138" s="45" t="s">
        <v>75</v>
      </c>
      <c r="K138" s="45"/>
      <c r="L138" s="7">
        <v>45383</v>
      </c>
      <c r="M138" s="7"/>
      <c r="N138" s="6" t="s">
        <v>40</v>
      </c>
      <c r="O138" s="13">
        <v>575</v>
      </c>
      <c r="P138" s="6" t="s">
        <v>80</v>
      </c>
      <c r="Q138" s="41">
        <f>+O138/C138</f>
        <v>1.0454545454545454E-2</v>
      </c>
      <c r="R138" s="65">
        <v>45405</v>
      </c>
      <c r="S138" s="17" t="s">
        <v>65</v>
      </c>
      <c r="T138" s="7">
        <v>45417</v>
      </c>
      <c r="U138" s="46" t="s">
        <v>167</v>
      </c>
      <c r="V138" s="7">
        <v>45420</v>
      </c>
      <c r="W138" s="10" t="s">
        <v>45</v>
      </c>
      <c r="X138" s="114">
        <f>202662-X139</f>
        <v>76412</v>
      </c>
      <c r="Y138" s="11" t="s">
        <v>341</v>
      </c>
      <c r="Z138" s="11"/>
      <c r="AA138" s="78"/>
      <c r="AB138" s="7">
        <v>45420</v>
      </c>
      <c r="AC138" s="7">
        <v>45417</v>
      </c>
      <c r="AD138" s="11"/>
      <c r="AE138" s="7">
        <v>45423</v>
      </c>
    </row>
    <row r="139" spans="1:46" ht="18" hidden="1" customHeight="1" x14ac:dyDescent="0.2">
      <c r="A139" s="209" t="s">
        <v>666</v>
      </c>
      <c r="B139" s="6">
        <v>25900</v>
      </c>
      <c r="C139" s="44"/>
      <c r="D139" s="6"/>
      <c r="E139" s="6" t="s">
        <v>389</v>
      </c>
      <c r="F139" s="6" t="s">
        <v>665</v>
      </c>
      <c r="G139" s="4"/>
      <c r="H139" s="45"/>
      <c r="I139" s="45"/>
      <c r="J139" s="45" t="s">
        <v>75</v>
      </c>
      <c r="K139" s="45"/>
      <c r="L139" s="7">
        <v>45383</v>
      </c>
      <c r="M139" s="7"/>
      <c r="N139" s="6"/>
      <c r="O139" s="13"/>
      <c r="P139" s="6"/>
      <c r="Q139" s="41"/>
      <c r="R139" s="65">
        <v>45405</v>
      </c>
      <c r="S139" s="17"/>
      <c r="T139" s="7">
        <v>45417</v>
      </c>
      <c r="U139" s="46" t="s">
        <v>167</v>
      </c>
      <c r="V139" s="7">
        <v>45420</v>
      </c>
      <c r="W139" s="10" t="s">
        <v>45</v>
      </c>
      <c r="X139" s="114">
        <v>126250</v>
      </c>
      <c r="Y139" s="11" t="s">
        <v>341</v>
      </c>
      <c r="Z139" s="11"/>
      <c r="AA139" s="78"/>
      <c r="AB139" s="7">
        <v>45420</v>
      </c>
      <c r="AC139" s="7">
        <v>45417</v>
      </c>
      <c r="AD139" s="11"/>
      <c r="AE139" s="7">
        <v>45423</v>
      </c>
    </row>
    <row r="140" spans="1:46" s="2" customFormat="1" ht="18" hidden="1" x14ac:dyDescent="0.25">
      <c r="A140" s="226" t="s">
        <v>364</v>
      </c>
      <c r="B140" s="231" t="s">
        <v>667</v>
      </c>
      <c r="C140" s="5">
        <f>34100+20800</f>
        <v>54900</v>
      </c>
      <c r="D140" s="4" t="s">
        <v>48</v>
      </c>
      <c r="E140" s="12" t="s">
        <v>668</v>
      </c>
      <c r="F140" s="4" t="s">
        <v>669</v>
      </c>
      <c r="G140" s="4" t="s">
        <v>36</v>
      </c>
      <c r="H140" s="6" t="s">
        <v>51</v>
      </c>
      <c r="I140" s="8"/>
      <c r="J140" s="4" t="s">
        <v>75</v>
      </c>
      <c r="K140" s="4"/>
      <c r="L140" s="7">
        <v>45369</v>
      </c>
      <c r="M140" s="8"/>
      <c r="N140" s="73" t="s">
        <v>40</v>
      </c>
      <c r="O140" s="13">
        <v>575</v>
      </c>
      <c r="P140" s="6" t="s">
        <v>80</v>
      </c>
      <c r="Q140" s="19">
        <f>+O140/C140</f>
        <v>1.0473588342440802E-2</v>
      </c>
      <c r="R140" s="7">
        <v>45404</v>
      </c>
      <c r="S140" s="41" t="s">
        <v>65</v>
      </c>
      <c r="T140" s="112">
        <v>45421</v>
      </c>
      <c r="U140" s="67" t="s">
        <v>76</v>
      </c>
      <c r="V140" s="7">
        <v>45425</v>
      </c>
      <c r="W140" s="10" t="s">
        <v>45</v>
      </c>
      <c r="X140" s="236">
        <v>131548</v>
      </c>
      <c r="Y140" s="11" t="s">
        <v>341</v>
      </c>
      <c r="Z140" s="11"/>
      <c r="AA140" s="78"/>
      <c r="AB140" s="7">
        <v>45425</v>
      </c>
      <c r="AC140" s="7">
        <v>45421</v>
      </c>
      <c r="AD140" s="11"/>
      <c r="AE140" s="7">
        <v>45439</v>
      </c>
      <c r="AF140" s="15"/>
      <c r="AG140" s="15"/>
      <c r="AH140" s="15"/>
      <c r="AI140" s="15"/>
      <c r="AJ140" s="15"/>
      <c r="AK140" s="15"/>
      <c r="AL140" s="15"/>
      <c r="AM140" s="15"/>
    </row>
    <row r="141" spans="1:46" ht="18" hidden="1" customHeight="1" x14ac:dyDescent="0.25">
      <c r="A141" s="152" t="s">
        <v>670</v>
      </c>
      <c r="B141" s="45">
        <v>24431</v>
      </c>
      <c r="C141" s="44">
        <v>18900</v>
      </c>
      <c r="D141" s="6" t="s">
        <v>105</v>
      </c>
      <c r="E141" s="153" t="s">
        <v>671</v>
      </c>
      <c r="F141" s="6" t="s">
        <v>672</v>
      </c>
      <c r="G141" s="4" t="s">
        <v>108</v>
      </c>
      <c r="H141" s="11" t="s">
        <v>37</v>
      </c>
      <c r="I141" s="11" t="s">
        <v>673</v>
      </c>
      <c r="J141" s="11" t="s">
        <v>674</v>
      </c>
      <c r="K141" s="11"/>
      <c r="L141" s="7">
        <v>45346</v>
      </c>
      <c r="M141" s="127" t="s">
        <v>487</v>
      </c>
      <c r="N141" s="6" t="s">
        <v>40</v>
      </c>
      <c r="O141" s="131">
        <f>4390+400</f>
        <v>4790</v>
      </c>
      <c r="P141" s="6" t="s">
        <v>41</v>
      </c>
      <c r="Q141" s="41">
        <f>+O141/C141</f>
        <v>0.25343915343915346</v>
      </c>
      <c r="R141" s="7"/>
      <c r="S141" s="154"/>
      <c r="T141" s="112">
        <v>45422</v>
      </c>
      <c r="U141" s="6" t="s">
        <v>43</v>
      </c>
      <c r="V141" s="7">
        <v>45427</v>
      </c>
      <c r="W141" s="10" t="s">
        <v>45</v>
      </c>
      <c r="X141" s="236">
        <v>18980</v>
      </c>
      <c r="Y141" s="70" t="s">
        <v>341</v>
      </c>
      <c r="Z141" s="744"/>
      <c r="AA141" s="155"/>
      <c r="AB141" s="7">
        <v>45425</v>
      </c>
      <c r="AC141" s="71">
        <v>45422</v>
      </c>
      <c r="AD141" s="128"/>
      <c r="AE141" s="7">
        <v>45442</v>
      </c>
    </row>
    <row r="142" spans="1:46" s="15" customFormat="1" ht="18" hidden="1" customHeight="1" x14ac:dyDescent="0.25">
      <c r="A142" s="113" t="s">
        <v>136</v>
      </c>
      <c r="B142" s="6">
        <v>25886</v>
      </c>
      <c r="C142" s="5">
        <v>44000</v>
      </c>
      <c r="D142" s="6" t="s">
        <v>48</v>
      </c>
      <c r="E142" s="6" t="s">
        <v>675</v>
      </c>
      <c r="F142" s="4" t="s">
        <v>676</v>
      </c>
      <c r="G142" s="4" t="s">
        <v>36</v>
      </c>
      <c r="H142" s="8" t="s">
        <v>37</v>
      </c>
      <c r="I142" s="8" t="s">
        <v>97</v>
      </c>
      <c r="J142" s="8" t="s">
        <v>98</v>
      </c>
      <c r="K142" s="8"/>
      <c r="L142" s="7">
        <v>45396</v>
      </c>
      <c r="M142" s="7" t="s">
        <v>99</v>
      </c>
      <c r="N142" s="6" t="s">
        <v>40</v>
      </c>
      <c r="O142" s="118">
        <f>2075+30+15+400</f>
        <v>2520</v>
      </c>
      <c r="P142" s="73" t="s">
        <v>41</v>
      </c>
      <c r="Q142" s="239">
        <f>+O142/C142</f>
        <v>5.7272727272727274E-2</v>
      </c>
      <c r="R142" s="219"/>
      <c r="S142" s="41"/>
      <c r="T142" s="7">
        <v>45417</v>
      </c>
      <c r="U142" s="67" t="s">
        <v>43</v>
      </c>
      <c r="V142" s="7">
        <v>45427</v>
      </c>
      <c r="W142" s="11" t="s">
        <v>45</v>
      </c>
      <c r="X142" s="236">
        <v>108992</v>
      </c>
      <c r="Y142" s="11" t="s">
        <v>68</v>
      </c>
      <c r="Z142" s="11"/>
      <c r="AA142" s="7">
        <v>45427</v>
      </c>
      <c r="AB142" s="7">
        <v>45427</v>
      </c>
      <c r="AC142" s="7">
        <v>45417</v>
      </c>
      <c r="AD142" s="38"/>
      <c r="AE142" s="7">
        <v>45420</v>
      </c>
    </row>
    <row r="143" spans="1:46" s="30" customFormat="1" ht="18" hidden="1" customHeight="1" x14ac:dyDescent="0.25">
      <c r="A143" s="210" t="s">
        <v>677</v>
      </c>
      <c r="B143" s="31">
        <v>25963</v>
      </c>
      <c r="C143" s="32">
        <v>40000</v>
      </c>
      <c r="D143" s="31" t="s">
        <v>249</v>
      </c>
      <c r="E143" s="31" t="s">
        <v>444</v>
      </c>
      <c r="F143" s="31"/>
      <c r="G143" s="31"/>
      <c r="H143" s="33"/>
      <c r="I143" s="33"/>
      <c r="J143" s="33" t="s">
        <v>62</v>
      </c>
      <c r="K143" s="33"/>
      <c r="L143" s="34">
        <v>45420</v>
      </c>
      <c r="M143" s="34"/>
      <c r="N143" s="31" t="s">
        <v>357</v>
      </c>
      <c r="O143" s="35">
        <v>6495</v>
      </c>
      <c r="P143" s="31" t="s">
        <v>80</v>
      </c>
      <c r="Q143" s="258">
        <f>+O143/C143</f>
        <v>0.16237499999999999</v>
      </c>
      <c r="R143" s="238"/>
      <c r="S143" s="49"/>
      <c r="T143" s="33"/>
      <c r="U143" s="42" t="s">
        <v>66</v>
      </c>
      <c r="V143" s="34">
        <v>45428</v>
      </c>
      <c r="W143" s="33" t="s">
        <v>678</v>
      </c>
      <c r="X143" s="50">
        <v>168000</v>
      </c>
      <c r="Y143" s="33" t="s">
        <v>215</v>
      </c>
      <c r="Z143" s="33"/>
      <c r="AA143" s="78"/>
      <c r="AB143" s="78"/>
      <c r="AC143" s="7">
        <v>45424</v>
      </c>
      <c r="AD143" s="38"/>
      <c r="AE143" s="7">
        <v>45448</v>
      </c>
      <c r="AF143" s="15"/>
      <c r="AG143" s="15"/>
      <c r="AH143" s="15"/>
      <c r="AI143" s="15"/>
      <c r="AJ143" s="15"/>
      <c r="AK143" s="15"/>
      <c r="AL143" s="15"/>
      <c r="AM143" s="15"/>
      <c r="AN143" s="15"/>
      <c r="AO143" s="15"/>
      <c r="AP143" s="15"/>
      <c r="AQ143" s="15"/>
      <c r="AR143" s="15"/>
      <c r="AS143" s="15"/>
      <c r="AT143" s="15"/>
    </row>
    <row r="144" spans="1:46" ht="18" hidden="1" x14ac:dyDescent="0.25">
      <c r="A144" s="230" t="s">
        <v>136</v>
      </c>
      <c r="B144" s="98">
        <v>25888</v>
      </c>
      <c r="C144" s="99">
        <v>43200</v>
      </c>
      <c r="D144" s="100" t="s">
        <v>33</v>
      </c>
      <c r="E144" s="101" t="s">
        <v>679</v>
      </c>
      <c r="F144" s="100" t="s">
        <v>680</v>
      </c>
      <c r="G144" s="100" t="s">
        <v>36</v>
      </c>
      <c r="H144" s="108" t="s">
        <v>37</v>
      </c>
      <c r="I144" s="108" t="s">
        <v>97</v>
      </c>
      <c r="J144" s="108" t="s">
        <v>98</v>
      </c>
      <c r="K144" s="108"/>
      <c r="L144" s="102">
        <v>45394</v>
      </c>
      <c r="M144" s="103" t="s">
        <v>99</v>
      </c>
      <c r="N144" s="98"/>
      <c r="O144" s="105">
        <f>2055+50+400</f>
        <v>2505</v>
      </c>
      <c r="P144" s="98" t="s">
        <v>41</v>
      </c>
      <c r="Q144" s="123">
        <f>+O144/C144</f>
        <v>5.7986111111111113E-2</v>
      </c>
      <c r="R144" s="102"/>
      <c r="S144" s="123"/>
      <c r="T144" s="102">
        <v>45427</v>
      </c>
      <c r="U144" s="100" t="s">
        <v>43</v>
      </c>
      <c r="V144" s="34">
        <v>45429</v>
      </c>
      <c r="W144" s="107" t="s">
        <v>681</v>
      </c>
      <c r="X144" s="62">
        <v>135860</v>
      </c>
      <c r="Y144" s="108" t="s">
        <v>68</v>
      </c>
      <c r="Z144" s="108"/>
      <c r="AA144" s="7">
        <v>45429</v>
      </c>
      <c r="AB144" s="7">
        <v>45429</v>
      </c>
      <c r="AC144" s="7">
        <v>45428</v>
      </c>
      <c r="AD144" s="38"/>
      <c r="AE144" s="7">
        <v>45428</v>
      </c>
    </row>
    <row r="145" spans="1:46" ht="18" hidden="1" x14ac:dyDescent="0.25">
      <c r="A145" s="120" t="s">
        <v>149</v>
      </c>
      <c r="B145" s="6">
        <v>25845</v>
      </c>
      <c r="C145" s="5">
        <v>8800</v>
      </c>
      <c r="D145" s="6"/>
      <c r="E145" s="6" t="s">
        <v>525</v>
      </c>
      <c r="F145" s="67" t="s">
        <v>680</v>
      </c>
      <c r="G145" s="6"/>
      <c r="H145" s="8"/>
      <c r="I145" s="8"/>
      <c r="J145" s="8" t="s">
        <v>98</v>
      </c>
      <c r="K145" s="8"/>
      <c r="L145" s="7">
        <v>45394</v>
      </c>
      <c r="M145" s="7"/>
      <c r="N145" s="6" t="s">
        <v>40</v>
      </c>
      <c r="O145" s="13"/>
      <c r="P145" s="6"/>
      <c r="Q145" s="19"/>
      <c r="R145" s="219"/>
      <c r="S145" s="41"/>
      <c r="T145" s="7">
        <v>45427</v>
      </c>
      <c r="U145" s="67" t="s">
        <v>43</v>
      </c>
      <c r="V145" s="7">
        <v>45429</v>
      </c>
      <c r="W145" s="11" t="s">
        <v>45</v>
      </c>
      <c r="X145" s="236">
        <v>16600</v>
      </c>
      <c r="Y145" s="11" t="s">
        <v>68</v>
      </c>
      <c r="Z145" s="11"/>
      <c r="AA145" s="7">
        <v>45429</v>
      </c>
      <c r="AB145" s="7">
        <v>45429</v>
      </c>
      <c r="AC145" s="7">
        <v>45428</v>
      </c>
      <c r="AD145" s="38"/>
      <c r="AE145" s="7">
        <v>45428</v>
      </c>
    </row>
    <row r="146" spans="1:46" ht="18" hidden="1" x14ac:dyDescent="0.25">
      <c r="A146" s="109" t="s">
        <v>682</v>
      </c>
      <c r="B146" s="22">
        <v>25844</v>
      </c>
      <c r="C146" s="23">
        <v>21000</v>
      </c>
      <c r="D146" s="22" t="s">
        <v>264</v>
      </c>
      <c r="E146" s="22" t="s">
        <v>380</v>
      </c>
      <c r="F146" s="22"/>
      <c r="G146" s="22"/>
      <c r="H146" s="24"/>
      <c r="I146" s="24" t="s">
        <v>683</v>
      </c>
      <c r="J146" s="24" t="s">
        <v>62</v>
      </c>
      <c r="K146" s="24"/>
      <c r="L146" s="25">
        <v>45426</v>
      </c>
      <c r="M146" s="25"/>
      <c r="N146" s="22" t="s">
        <v>441</v>
      </c>
      <c r="O146" s="26">
        <v>3400</v>
      </c>
      <c r="P146" s="22" t="s">
        <v>80</v>
      </c>
      <c r="Q146" s="259">
        <f t="shared" ref="Q146:Q153" si="4">+O146/C146</f>
        <v>0.16190476190476191</v>
      </c>
      <c r="R146" s="217"/>
      <c r="S146" s="27"/>
      <c r="T146" s="25">
        <v>45433</v>
      </c>
      <c r="U146" s="28" t="s">
        <v>66</v>
      </c>
      <c r="V146" s="25">
        <v>45433</v>
      </c>
      <c r="W146" s="24" t="s">
        <v>45</v>
      </c>
      <c r="X146" s="29">
        <v>147000</v>
      </c>
      <c r="Y146" s="24" t="s">
        <v>215</v>
      </c>
      <c r="Z146" s="24"/>
      <c r="AA146" s="78"/>
      <c r="AB146" s="78"/>
      <c r="AC146" s="7"/>
      <c r="AD146" s="38"/>
      <c r="AE146" s="7">
        <v>45426</v>
      </c>
    </row>
    <row r="147" spans="1:46" s="30" customFormat="1" ht="18" hidden="1" customHeight="1" x14ac:dyDescent="0.25">
      <c r="A147" s="109" t="s">
        <v>251</v>
      </c>
      <c r="B147" s="22">
        <v>26386</v>
      </c>
      <c r="C147" s="23">
        <v>39025</v>
      </c>
      <c r="D147" s="22" t="s">
        <v>48</v>
      </c>
      <c r="E147" s="22" t="s">
        <v>684</v>
      </c>
      <c r="F147" s="22"/>
      <c r="G147" s="22"/>
      <c r="H147" s="24" t="s">
        <v>37</v>
      </c>
      <c r="I147" s="24" t="s">
        <v>253</v>
      </c>
      <c r="J147" s="24" t="s">
        <v>62</v>
      </c>
      <c r="K147" s="24"/>
      <c r="L147" s="25">
        <v>45422</v>
      </c>
      <c r="M147" s="25"/>
      <c r="N147" s="22" t="s">
        <v>357</v>
      </c>
      <c r="O147" s="26">
        <v>6350</v>
      </c>
      <c r="P147" s="22" t="s">
        <v>80</v>
      </c>
      <c r="Q147" s="259">
        <f t="shared" si="4"/>
        <v>0.16271620755925689</v>
      </c>
      <c r="R147" s="217"/>
      <c r="S147" s="27"/>
      <c r="T147" s="25">
        <v>45427</v>
      </c>
      <c r="U147" s="28" t="s">
        <v>66</v>
      </c>
      <c r="V147" s="25">
        <v>45434</v>
      </c>
      <c r="W147" s="24" t="s">
        <v>45</v>
      </c>
      <c r="X147" s="29">
        <v>92489</v>
      </c>
      <c r="Y147" s="24" t="s">
        <v>215</v>
      </c>
      <c r="Z147" s="24"/>
      <c r="AA147" s="78"/>
      <c r="AB147" s="78"/>
      <c r="AC147" s="7"/>
      <c r="AD147" s="6"/>
      <c r="AE147" s="7">
        <v>45442</v>
      </c>
      <c r="AF147" s="15"/>
      <c r="AG147" s="15"/>
      <c r="AH147" s="15"/>
      <c r="AI147" s="15"/>
      <c r="AJ147" s="15"/>
      <c r="AK147" s="15"/>
      <c r="AL147" s="15"/>
      <c r="AM147" s="15"/>
      <c r="AN147" s="15"/>
      <c r="AO147" s="15"/>
      <c r="AP147" s="15"/>
      <c r="AQ147" s="15"/>
      <c r="AR147" s="15"/>
      <c r="AS147" s="15"/>
      <c r="AT147" s="15"/>
    </row>
    <row r="148" spans="1:46" s="2" customFormat="1" ht="18" hidden="1" customHeight="1" x14ac:dyDescent="0.25">
      <c r="A148" s="230" t="s">
        <v>685</v>
      </c>
      <c r="B148" s="98">
        <v>24242</v>
      </c>
      <c r="C148" s="99">
        <v>55000</v>
      </c>
      <c r="D148" s="100" t="s">
        <v>48</v>
      </c>
      <c r="E148" s="101" t="s">
        <v>495</v>
      </c>
      <c r="F148" s="100" t="s">
        <v>686</v>
      </c>
      <c r="G148" s="100" t="s">
        <v>687</v>
      </c>
      <c r="H148" s="108" t="s">
        <v>109</v>
      </c>
      <c r="I148" s="108"/>
      <c r="J148" s="108" t="s">
        <v>75</v>
      </c>
      <c r="K148" s="108"/>
      <c r="L148" s="102">
        <v>45399</v>
      </c>
      <c r="M148" s="103"/>
      <c r="N148" s="98" t="s">
        <v>40</v>
      </c>
      <c r="O148" s="105">
        <v>575</v>
      </c>
      <c r="P148" s="98" t="s">
        <v>80</v>
      </c>
      <c r="Q148" s="123">
        <f t="shared" si="4"/>
        <v>1.0454545454545454E-2</v>
      </c>
      <c r="R148" s="102">
        <v>45424</v>
      </c>
      <c r="S148" s="123" t="s">
        <v>65</v>
      </c>
      <c r="T148" s="34">
        <v>45431</v>
      </c>
      <c r="U148" s="100" t="s">
        <v>178</v>
      </c>
      <c r="V148" s="34">
        <v>45436</v>
      </c>
      <c r="W148" s="33" t="s">
        <v>45</v>
      </c>
      <c r="X148" s="62">
        <f>57970-11594</f>
        <v>46376</v>
      </c>
      <c r="Y148" s="108" t="s">
        <v>341</v>
      </c>
      <c r="Z148" s="108"/>
      <c r="AA148" s="78"/>
      <c r="AB148" s="7">
        <v>45435</v>
      </c>
      <c r="AC148" s="7">
        <v>45431</v>
      </c>
      <c r="AD148" s="11"/>
      <c r="AE148" s="7">
        <v>45439</v>
      </c>
      <c r="AF148" s="15"/>
      <c r="AG148" s="15"/>
      <c r="AH148" s="15"/>
      <c r="AI148" s="15"/>
      <c r="AJ148" s="15"/>
      <c r="AK148" s="15"/>
      <c r="AL148" s="15"/>
    </row>
    <row r="149" spans="1:46" s="15" customFormat="1" ht="18" hidden="1" customHeight="1" x14ac:dyDescent="0.25">
      <c r="A149" s="209" t="s">
        <v>289</v>
      </c>
      <c r="B149" s="6">
        <v>25287</v>
      </c>
      <c r="C149" s="44">
        <v>44000</v>
      </c>
      <c r="D149" s="4" t="s">
        <v>105</v>
      </c>
      <c r="E149" s="6" t="s">
        <v>290</v>
      </c>
      <c r="F149" s="6" t="s">
        <v>688</v>
      </c>
      <c r="G149" s="6" t="s">
        <v>108</v>
      </c>
      <c r="H149" s="11" t="s">
        <v>37</v>
      </c>
      <c r="I149" s="11" t="s">
        <v>350</v>
      </c>
      <c r="J149" s="11" t="s">
        <v>292</v>
      </c>
      <c r="K149" s="11"/>
      <c r="L149" s="7">
        <v>45404</v>
      </c>
      <c r="M149" s="7" t="s">
        <v>339</v>
      </c>
      <c r="N149" s="73" t="s">
        <v>40</v>
      </c>
      <c r="O149" s="13">
        <f>2083+400</f>
        <v>2483</v>
      </c>
      <c r="P149" s="6" t="s">
        <v>41</v>
      </c>
      <c r="Q149" s="41">
        <f t="shared" si="4"/>
        <v>5.643181818181818E-2</v>
      </c>
      <c r="R149" s="7">
        <v>45429</v>
      </c>
      <c r="S149" s="156" t="s">
        <v>121</v>
      </c>
      <c r="T149" s="65">
        <v>45433</v>
      </c>
      <c r="U149" s="46" t="s">
        <v>167</v>
      </c>
      <c r="V149" s="7">
        <v>45435</v>
      </c>
      <c r="W149" s="47" t="s">
        <v>45</v>
      </c>
      <c r="X149" s="236">
        <v>48800</v>
      </c>
      <c r="Y149" s="11" t="s">
        <v>341</v>
      </c>
      <c r="Z149" s="11"/>
      <c r="AA149" s="78"/>
      <c r="AB149" s="7">
        <v>45436</v>
      </c>
      <c r="AC149" s="7">
        <v>45434</v>
      </c>
      <c r="AD149" s="38"/>
      <c r="AE149" s="71">
        <v>45434</v>
      </c>
    </row>
    <row r="150" spans="1:46" s="15" customFormat="1" ht="18" hidden="1" customHeight="1" x14ac:dyDescent="0.25">
      <c r="A150" s="209" t="s">
        <v>47</v>
      </c>
      <c r="B150" s="6">
        <v>25521</v>
      </c>
      <c r="C150" s="5">
        <v>55000</v>
      </c>
      <c r="D150" s="6" t="s">
        <v>48</v>
      </c>
      <c r="E150" s="6" t="s">
        <v>689</v>
      </c>
      <c r="F150" s="6" t="s">
        <v>690</v>
      </c>
      <c r="G150" s="6" t="s">
        <v>36</v>
      </c>
      <c r="H150" s="6" t="s">
        <v>51</v>
      </c>
      <c r="I150" s="6"/>
      <c r="J150" s="6" t="s">
        <v>479</v>
      </c>
      <c r="K150" s="6"/>
      <c r="L150" s="7">
        <v>45379</v>
      </c>
      <c r="M150" s="7"/>
      <c r="N150" s="73" t="s">
        <v>40</v>
      </c>
      <c r="O150" s="13">
        <v>575</v>
      </c>
      <c r="P150" s="6" t="s">
        <v>80</v>
      </c>
      <c r="Q150" s="19">
        <f t="shared" si="4"/>
        <v>1.0454545454545454E-2</v>
      </c>
      <c r="R150" s="219"/>
      <c r="S150" s="36"/>
      <c r="T150" s="7">
        <v>45434</v>
      </c>
      <c r="U150" s="17" t="s">
        <v>43</v>
      </c>
      <c r="V150" s="7">
        <v>45436</v>
      </c>
      <c r="W150" s="10" t="s">
        <v>45</v>
      </c>
      <c r="X150" s="236">
        <v>23566.400000000001</v>
      </c>
      <c r="Y150" s="11" t="s">
        <v>341</v>
      </c>
      <c r="Z150" s="11"/>
      <c r="AA150" s="78"/>
      <c r="AB150" s="7">
        <v>45435</v>
      </c>
      <c r="AC150" s="7">
        <v>45435</v>
      </c>
      <c r="AD150" s="11"/>
      <c r="AE150" s="7">
        <v>45439</v>
      </c>
    </row>
    <row r="151" spans="1:46" s="15" customFormat="1" ht="18" hidden="1" customHeight="1" x14ac:dyDescent="0.25">
      <c r="A151" s="209" t="s">
        <v>47</v>
      </c>
      <c r="B151" s="6">
        <v>25522</v>
      </c>
      <c r="C151" s="5">
        <v>55000</v>
      </c>
      <c r="D151" s="6" t="s">
        <v>48</v>
      </c>
      <c r="E151" s="6" t="s">
        <v>49</v>
      </c>
      <c r="F151" s="6" t="s">
        <v>691</v>
      </c>
      <c r="G151" s="6" t="s">
        <v>36</v>
      </c>
      <c r="H151" s="6" t="s">
        <v>51</v>
      </c>
      <c r="I151" s="6"/>
      <c r="J151" s="6" t="s">
        <v>479</v>
      </c>
      <c r="K151" s="6"/>
      <c r="L151" s="7">
        <v>45379</v>
      </c>
      <c r="M151" s="7"/>
      <c r="N151" s="73" t="s">
        <v>40</v>
      </c>
      <c r="O151" s="13">
        <v>575</v>
      </c>
      <c r="P151" s="6" t="s">
        <v>80</v>
      </c>
      <c r="Q151" s="19">
        <f t="shared" si="4"/>
        <v>1.0454545454545454E-2</v>
      </c>
      <c r="R151" s="219"/>
      <c r="S151" s="36"/>
      <c r="T151" s="7">
        <v>45434</v>
      </c>
      <c r="U151" s="17" t="s">
        <v>43</v>
      </c>
      <c r="V151" s="7">
        <v>45436</v>
      </c>
      <c r="W151" s="10" t="s">
        <v>45</v>
      </c>
      <c r="X151" s="236">
        <v>23566.400000000001</v>
      </c>
      <c r="Y151" s="11" t="s">
        <v>341</v>
      </c>
      <c r="Z151" s="11"/>
      <c r="AA151" s="78"/>
      <c r="AB151" s="7">
        <v>45435</v>
      </c>
      <c r="AC151" s="7">
        <v>45435</v>
      </c>
      <c r="AD151" s="11"/>
      <c r="AE151" s="7">
        <v>45439</v>
      </c>
    </row>
    <row r="152" spans="1:46" s="15" customFormat="1" ht="18" hidden="1" customHeight="1" x14ac:dyDescent="0.25">
      <c r="A152" s="209" t="s">
        <v>241</v>
      </c>
      <c r="B152" s="6">
        <v>25242</v>
      </c>
      <c r="C152" s="5">
        <v>55000</v>
      </c>
      <c r="D152" s="6" t="s">
        <v>48</v>
      </c>
      <c r="E152" s="6" t="s">
        <v>692</v>
      </c>
      <c r="F152" s="4" t="s">
        <v>693</v>
      </c>
      <c r="G152" s="4" t="s">
        <v>345</v>
      </c>
      <c r="H152" s="6" t="s">
        <v>109</v>
      </c>
      <c r="I152" s="6"/>
      <c r="J152" s="6" t="s">
        <v>75</v>
      </c>
      <c r="K152" s="6"/>
      <c r="L152" s="7">
        <v>45377</v>
      </c>
      <c r="M152" s="7"/>
      <c r="N152" s="73" t="s">
        <v>40</v>
      </c>
      <c r="O152" s="13">
        <v>575</v>
      </c>
      <c r="P152" s="6" t="s">
        <v>80</v>
      </c>
      <c r="Q152" s="19">
        <f t="shared" si="4"/>
        <v>1.0454545454545454E-2</v>
      </c>
      <c r="R152" s="7">
        <v>45409</v>
      </c>
      <c r="S152" s="17" t="s">
        <v>65</v>
      </c>
      <c r="T152" s="112">
        <v>45439</v>
      </c>
      <c r="U152" s="17" t="s">
        <v>76</v>
      </c>
      <c r="V152" s="7">
        <v>45440</v>
      </c>
      <c r="W152" s="10" t="s">
        <v>45</v>
      </c>
      <c r="X152" s="236">
        <v>45404</v>
      </c>
      <c r="Y152" s="11" t="s">
        <v>341</v>
      </c>
      <c r="Z152" s="11"/>
      <c r="AA152" s="78"/>
      <c r="AB152" s="7">
        <v>45439</v>
      </c>
      <c r="AC152" s="7">
        <v>45439</v>
      </c>
      <c r="AD152" s="11"/>
      <c r="AE152" s="7">
        <v>45442</v>
      </c>
    </row>
    <row r="153" spans="1:46" s="2" customFormat="1" ht="18" hidden="1" customHeight="1" x14ac:dyDescent="0.25">
      <c r="A153" s="226" t="s">
        <v>694</v>
      </c>
      <c r="B153" s="4">
        <v>25607</v>
      </c>
      <c r="C153" s="5">
        <v>55000</v>
      </c>
      <c r="D153" s="4" t="s">
        <v>33</v>
      </c>
      <c r="E153" s="12" t="s">
        <v>695</v>
      </c>
      <c r="F153" s="6" t="s">
        <v>696</v>
      </c>
      <c r="G153" s="4" t="s">
        <v>130</v>
      </c>
      <c r="H153" s="6" t="s">
        <v>51</v>
      </c>
      <c r="I153" s="8"/>
      <c r="J153" s="4" t="s">
        <v>473</v>
      </c>
      <c r="K153" s="4"/>
      <c r="L153" s="7">
        <v>45381</v>
      </c>
      <c r="M153" s="8"/>
      <c r="N153" s="6" t="s">
        <v>40</v>
      </c>
      <c r="O153" s="13">
        <v>575</v>
      </c>
      <c r="P153" s="6" t="s">
        <v>80</v>
      </c>
      <c r="Q153" s="41">
        <f t="shared" si="4"/>
        <v>1.0454545454545454E-2</v>
      </c>
      <c r="R153" s="218"/>
      <c r="S153" s="41"/>
      <c r="T153" s="7">
        <v>45438</v>
      </c>
      <c r="U153" s="67" t="s">
        <v>43</v>
      </c>
      <c r="V153" s="7">
        <v>45441</v>
      </c>
      <c r="W153" s="10" t="s">
        <v>45</v>
      </c>
      <c r="X153" s="236">
        <v>65362</v>
      </c>
      <c r="Y153" s="8" t="s">
        <v>68</v>
      </c>
      <c r="Z153" s="8"/>
      <c r="AA153" s="7">
        <v>45440</v>
      </c>
      <c r="AB153" s="7">
        <v>45440</v>
      </c>
      <c r="AC153" s="7">
        <v>45438</v>
      </c>
      <c r="AD153" s="11"/>
      <c r="AE153" s="7">
        <v>45442</v>
      </c>
      <c r="AF153" s="15"/>
      <c r="AG153" s="15"/>
      <c r="AH153" s="15"/>
      <c r="AI153" s="15"/>
      <c r="AJ153" s="15"/>
      <c r="AK153" s="15"/>
      <c r="AL153" s="15"/>
      <c r="AM153" s="15"/>
    </row>
    <row r="154" spans="1:46" s="30" customFormat="1" ht="18" hidden="1" customHeight="1" x14ac:dyDescent="0.25">
      <c r="A154" s="109" t="s">
        <v>697</v>
      </c>
      <c r="B154" s="22">
        <v>26501</v>
      </c>
      <c r="C154" s="260">
        <f>800*50</f>
        <v>40000</v>
      </c>
      <c r="D154" s="256" t="s">
        <v>249</v>
      </c>
      <c r="E154" s="256" t="s">
        <v>227</v>
      </c>
      <c r="F154" s="22"/>
      <c r="G154" s="22"/>
      <c r="H154" s="261" t="s">
        <v>37</v>
      </c>
      <c r="I154" s="24" t="s">
        <v>698</v>
      </c>
      <c r="J154" s="24" t="s">
        <v>53</v>
      </c>
      <c r="K154" s="24"/>
      <c r="L154" s="25">
        <v>45440</v>
      </c>
      <c r="M154" s="25"/>
      <c r="N154" s="22"/>
      <c r="O154" s="26"/>
      <c r="P154" s="22"/>
      <c r="Q154" s="27"/>
      <c r="R154" s="217"/>
      <c r="S154" s="262"/>
      <c r="T154" s="25">
        <v>45441</v>
      </c>
      <c r="U154" s="245" t="s">
        <v>66</v>
      </c>
      <c r="V154" s="25">
        <v>45441</v>
      </c>
      <c r="W154" s="24" t="s">
        <v>45</v>
      </c>
      <c r="X154" s="29">
        <v>116000</v>
      </c>
      <c r="Y154" s="24" t="s">
        <v>215</v>
      </c>
      <c r="Z154" s="24"/>
      <c r="AA154" s="78"/>
      <c r="AB154" s="78"/>
      <c r="AC154" s="78"/>
      <c r="AD154" s="242"/>
      <c r="AE154" s="71" t="s">
        <v>378</v>
      </c>
      <c r="AF154" s="15"/>
      <c r="AG154" s="15"/>
      <c r="AH154" s="15"/>
      <c r="AI154" s="15"/>
      <c r="AJ154" s="15"/>
      <c r="AK154" s="15"/>
      <c r="AL154" s="15"/>
      <c r="AM154" s="15"/>
      <c r="AN154" s="15"/>
      <c r="AO154" s="15"/>
      <c r="AP154" s="15"/>
      <c r="AQ154" s="15"/>
      <c r="AR154" s="15"/>
      <c r="AS154" s="15"/>
      <c r="AT154" s="15"/>
    </row>
    <row r="155" spans="1:46" s="30" customFormat="1" ht="18" hidden="1" customHeight="1" x14ac:dyDescent="0.25">
      <c r="A155" s="21" t="s">
        <v>697</v>
      </c>
      <c r="B155" s="22">
        <v>26534</v>
      </c>
      <c r="C155" s="260">
        <f>800*50</f>
        <v>40000</v>
      </c>
      <c r="D155" s="256" t="s">
        <v>249</v>
      </c>
      <c r="E155" s="256" t="s">
        <v>699</v>
      </c>
      <c r="F155" s="22"/>
      <c r="G155" s="22"/>
      <c r="H155" s="261" t="s">
        <v>37</v>
      </c>
      <c r="I155" s="24" t="s">
        <v>698</v>
      </c>
      <c r="J155" s="24" t="s">
        <v>53</v>
      </c>
      <c r="K155" s="24"/>
      <c r="L155" s="25">
        <v>45442</v>
      </c>
      <c r="M155" s="25"/>
      <c r="N155" s="22"/>
      <c r="O155" s="26"/>
      <c r="P155" s="22"/>
      <c r="Q155" s="27"/>
      <c r="R155" s="217"/>
      <c r="S155" s="262"/>
      <c r="T155" s="25">
        <v>45443</v>
      </c>
      <c r="U155" s="245" t="s">
        <v>66</v>
      </c>
      <c r="V155" s="25" t="s">
        <v>700</v>
      </c>
      <c r="W155" s="24" t="s">
        <v>45</v>
      </c>
      <c r="X155" s="29">
        <v>87200</v>
      </c>
      <c r="Y155" s="24" t="s">
        <v>215</v>
      </c>
      <c r="Z155" s="24"/>
      <c r="AA155" s="78"/>
      <c r="AB155" s="78"/>
      <c r="AC155" s="78"/>
      <c r="AD155" s="242"/>
      <c r="AE155" s="71" t="s">
        <v>378</v>
      </c>
      <c r="AF155" s="15"/>
      <c r="AG155" s="15"/>
      <c r="AH155" s="15"/>
      <c r="AI155" s="15"/>
      <c r="AJ155" s="15"/>
      <c r="AK155" s="15"/>
      <c r="AL155" s="15"/>
      <c r="AM155" s="15"/>
      <c r="AN155" s="15"/>
      <c r="AO155" s="15"/>
      <c r="AP155" s="15"/>
      <c r="AQ155" s="15"/>
      <c r="AR155" s="15"/>
      <c r="AS155" s="15"/>
      <c r="AT155" s="15"/>
    </row>
    <row r="156" spans="1:46" s="30" customFormat="1" ht="18" hidden="1" customHeight="1" x14ac:dyDescent="0.25">
      <c r="A156" s="21" t="s">
        <v>320</v>
      </c>
      <c r="B156" s="22">
        <v>26513</v>
      </c>
      <c r="C156" s="23">
        <f>1584*25</f>
        <v>39600</v>
      </c>
      <c r="D156" s="22" t="s">
        <v>249</v>
      </c>
      <c r="E156" s="22" t="s">
        <v>321</v>
      </c>
      <c r="F156" s="22"/>
      <c r="G156" s="22"/>
      <c r="H156" s="24" t="s">
        <v>37</v>
      </c>
      <c r="I156" s="24" t="s">
        <v>701</v>
      </c>
      <c r="J156" s="24" t="s">
        <v>62</v>
      </c>
      <c r="K156" s="24"/>
      <c r="L156" s="25">
        <v>45442</v>
      </c>
      <c r="M156" s="25"/>
      <c r="N156" s="22" t="s">
        <v>441</v>
      </c>
      <c r="O156" s="26">
        <v>2765</v>
      </c>
      <c r="P156" s="22" t="s">
        <v>80</v>
      </c>
      <c r="Q156" s="655">
        <f>+O156/C156</f>
        <v>6.9823232323232329E-2</v>
      </c>
      <c r="R156" s="217"/>
      <c r="S156" s="27"/>
      <c r="T156" s="24"/>
      <c r="U156" s="28" t="s">
        <v>66</v>
      </c>
      <c r="V156" s="25" t="s">
        <v>702</v>
      </c>
      <c r="W156" s="24" t="s">
        <v>45</v>
      </c>
      <c r="X156" s="29">
        <v>53856</v>
      </c>
      <c r="Y156" s="24" t="s">
        <v>215</v>
      </c>
      <c r="Z156" s="24"/>
      <c r="AA156" s="78"/>
      <c r="AB156" s="78"/>
      <c r="AC156" s="7">
        <v>45442</v>
      </c>
      <c r="AD156" s="38"/>
      <c r="AE156" s="71">
        <v>45446</v>
      </c>
      <c r="AF156" s="15"/>
      <c r="AG156" s="15"/>
      <c r="AH156" s="15"/>
      <c r="AI156" s="15"/>
      <c r="AJ156" s="15"/>
      <c r="AK156" s="15"/>
      <c r="AL156" s="15"/>
      <c r="AM156" s="15"/>
      <c r="AN156" s="15"/>
      <c r="AO156" s="15"/>
      <c r="AP156" s="15"/>
      <c r="AQ156" s="15"/>
      <c r="AR156" s="15"/>
      <c r="AS156" s="15"/>
      <c r="AT156" s="15"/>
    </row>
    <row r="157" spans="1:46" s="15" customFormat="1" ht="18" hidden="1" customHeight="1" x14ac:dyDescent="0.25">
      <c r="A157" s="209" t="s">
        <v>175</v>
      </c>
      <c r="B157" s="6">
        <v>24487</v>
      </c>
      <c r="C157" s="5">
        <v>44000</v>
      </c>
      <c r="D157" s="6" t="s">
        <v>105</v>
      </c>
      <c r="E157" s="6" t="s">
        <v>176</v>
      </c>
      <c r="F157" s="6" t="s">
        <v>703</v>
      </c>
      <c r="G157" s="6" t="s">
        <v>602</v>
      </c>
      <c r="H157" s="6" t="s">
        <v>51</v>
      </c>
      <c r="I157" s="6"/>
      <c r="J157" s="6" t="s">
        <v>75</v>
      </c>
      <c r="K157" s="6"/>
      <c r="L157" s="7">
        <v>45403</v>
      </c>
      <c r="M157" s="7"/>
      <c r="N157" s="73" t="s">
        <v>40</v>
      </c>
      <c r="O157" s="13">
        <v>575</v>
      </c>
      <c r="P157" s="6" t="s">
        <v>80</v>
      </c>
      <c r="Q157" s="19">
        <f>+O157/C157</f>
        <v>1.3068181818181817E-2</v>
      </c>
      <c r="R157" s="7">
        <v>45430</v>
      </c>
      <c r="S157" s="41" t="s">
        <v>65</v>
      </c>
      <c r="T157" s="7">
        <v>45443</v>
      </c>
      <c r="U157" s="17" t="s">
        <v>76</v>
      </c>
      <c r="V157" s="7">
        <v>45446</v>
      </c>
      <c r="W157" s="10" t="s">
        <v>45</v>
      </c>
      <c r="X157" s="236">
        <v>31000</v>
      </c>
      <c r="Y157" s="11" t="s">
        <v>341</v>
      </c>
      <c r="Z157" s="11"/>
      <c r="AA157" s="78"/>
      <c r="AB157" s="7">
        <v>45442</v>
      </c>
      <c r="AC157" s="7">
        <v>45444</v>
      </c>
      <c r="AD157" s="242"/>
      <c r="AE157" s="71">
        <v>45450</v>
      </c>
    </row>
    <row r="158" spans="1:46" s="15" customFormat="1" ht="18" hidden="1" customHeight="1" x14ac:dyDescent="0.25">
      <c r="A158" s="16" t="s">
        <v>453</v>
      </c>
      <c r="B158" s="6">
        <v>24238</v>
      </c>
      <c r="C158" s="44">
        <v>55000</v>
      </c>
      <c r="D158" s="6" t="s">
        <v>48</v>
      </c>
      <c r="E158" s="6" t="s">
        <v>454</v>
      </c>
      <c r="F158" s="6" t="s">
        <v>704</v>
      </c>
      <c r="G158" s="6" t="s">
        <v>687</v>
      </c>
      <c r="H158" s="45" t="s">
        <v>109</v>
      </c>
      <c r="I158" s="45"/>
      <c r="J158" s="45" t="s">
        <v>75</v>
      </c>
      <c r="K158" s="45"/>
      <c r="L158" s="7">
        <v>45399</v>
      </c>
      <c r="M158" s="7"/>
      <c r="N158" s="73" t="s">
        <v>40</v>
      </c>
      <c r="O158" s="13">
        <v>575</v>
      </c>
      <c r="P158" s="6" t="s">
        <v>80</v>
      </c>
      <c r="Q158" s="19">
        <f>+O158/C158</f>
        <v>1.0454545454545454E-2</v>
      </c>
      <c r="R158" s="7">
        <v>45424</v>
      </c>
      <c r="S158" s="41" t="s">
        <v>65</v>
      </c>
      <c r="T158" s="65">
        <v>45445</v>
      </c>
      <c r="U158" s="46" t="s">
        <v>178</v>
      </c>
      <c r="V158" s="7">
        <v>45446</v>
      </c>
      <c r="W158" s="10" t="s">
        <v>45</v>
      </c>
      <c r="X158" s="236">
        <f>64294-12858.8</f>
        <v>51435.199999999997</v>
      </c>
      <c r="Y158" s="11" t="s">
        <v>341</v>
      </c>
      <c r="Z158" s="11"/>
      <c r="AA158" s="78"/>
      <c r="AB158" s="7">
        <v>45435</v>
      </c>
      <c r="AC158" s="7">
        <v>45431</v>
      </c>
      <c r="AD158" s="38"/>
      <c r="AE158" s="71">
        <v>45450</v>
      </c>
    </row>
    <row r="159" spans="1:46" ht="18" hidden="1" customHeight="1" x14ac:dyDescent="0.25">
      <c r="A159" s="230" t="s">
        <v>705</v>
      </c>
      <c r="B159" s="98">
        <v>25683</v>
      </c>
      <c r="C159" s="99">
        <v>51480</v>
      </c>
      <c r="D159" s="100" t="s">
        <v>48</v>
      </c>
      <c r="E159" s="101" t="s">
        <v>706</v>
      </c>
      <c r="F159" s="100" t="s">
        <v>707</v>
      </c>
      <c r="G159" s="100" t="s">
        <v>36</v>
      </c>
      <c r="H159" s="100" t="s">
        <v>51</v>
      </c>
      <c r="I159" s="100" t="s">
        <v>708</v>
      </c>
      <c r="J159" s="100" t="s">
        <v>708</v>
      </c>
      <c r="K159" s="100"/>
      <c r="L159" s="102">
        <v>45375</v>
      </c>
      <c r="M159" s="103"/>
      <c r="N159" s="98" t="s">
        <v>40</v>
      </c>
      <c r="O159" s="105">
        <v>575</v>
      </c>
      <c r="P159" s="98" t="s">
        <v>80</v>
      </c>
      <c r="Q159" s="123">
        <f>+O159/C159</f>
        <v>1.116938616938617E-2</v>
      </c>
      <c r="R159" s="102"/>
      <c r="S159" s="123"/>
      <c r="T159" s="34">
        <v>45444</v>
      </c>
      <c r="U159" s="100" t="s">
        <v>43</v>
      </c>
      <c r="V159" s="34">
        <v>45447</v>
      </c>
      <c r="W159" s="107" t="s">
        <v>709</v>
      </c>
      <c r="X159" s="62">
        <f>144210-2862</f>
        <v>141348</v>
      </c>
      <c r="Y159" s="108" t="s">
        <v>341</v>
      </c>
      <c r="Z159" s="108"/>
      <c r="AA159" s="78"/>
      <c r="AB159" s="7">
        <v>45446</v>
      </c>
      <c r="AC159" s="71">
        <v>45443</v>
      </c>
      <c r="AD159" s="79"/>
      <c r="AE159" s="71">
        <v>45450</v>
      </c>
    </row>
    <row r="160" spans="1:46" s="251" customFormat="1" ht="18" hidden="1" x14ac:dyDescent="0.25">
      <c r="A160" s="253" t="s">
        <v>140</v>
      </c>
      <c r="B160" s="4">
        <v>26188</v>
      </c>
      <c r="C160" s="44">
        <v>55000</v>
      </c>
      <c r="D160" s="167" t="s">
        <v>105</v>
      </c>
      <c r="E160" s="254" t="s">
        <v>141</v>
      </c>
      <c r="F160" s="67" t="s">
        <v>710</v>
      </c>
      <c r="G160" s="67" t="s">
        <v>36</v>
      </c>
      <c r="H160" s="4" t="s">
        <v>51</v>
      </c>
      <c r="I160" s="159" t="s">
        <v>711</v>
      </c>
      <c r="J160" s="159" t="s">
        <v>144</v>
      </c>
      <c r="K160" s="159"/>
      <c r="L160" s="7">
        <v>45413</v>
      </c>
      <c r="N160" s="73" t="s">
        <v>40</v>
      </c>
      <c r="O160" s="13">
        <v>575</v>
      </c>
      <c r="P160" s="6" t="s">
        <v>80</v>
      </c>
      <c r="Q160" s="19">
        <f>+O160/C160</f>
        <v>1.0454545454545454E-2</v>
      </c>
      <c r="S160" s="156"/>
      <c r="T160" s="7">
        <v>45440</v>
      </c>
      <c r="U160" s="46" t="s">
        <v>43</v>
      </c>
      <c r="V160" s="7">
        <v>45447</v>
      </c>
      <c r="W160" s="10" t="s">
        <v>45</v>
      </c>
      <c r="X160" s="236">
        <v>53541</v>
      </c>
      <c r="Y160" s="11" t="s">
        <v>341</v>
      </c>
      <c r="Z160" s="11"/>
      <c r="AA160" s="7">
        <v>45447</v>
      </c>
      <c r="AB160" s="7">
        <v>45447</v>
      </c>
      <c r="AC160" s="7">
        <v>45440</v>
      </c>
      <c r="AE160" s="71">
        <v>45450</v>
      </c>
      <c r="AF160" s="252"/>
      <c r="AG160" s="252"/>
      <c r="AH160" s="252"/>
      <c r="AI160" s="252"/>
      <c r="AJ160" s="252"/>
      <c r="AK160" s="252"/>
      <c r="AL160" s="252"/>
      <c r="AM160" s="252"/>
      <c r="AN160" s="252"/>
      <c r="AO160" s="252"/>
      <c r="AP160" s="252"/>
    </row>
    <row r="161" spans="1:46" s="278" customFormat="1" ht="19.5" hidden="1" customHeight="1" x14ac:dyDescent="0.25">
      <c r="A161" s="265" t="s">
        <v>267</v>
      </c>
      <c r="B161" s="266">
        <v>26545</v>
      </c>
      <c r="C161" s="267">
        <v>44000</v>
      </c>
      <c r="D161" s="266" t="s">
        <v>249</v>
      </c>
      <c r="E161" s="266" t="s">
        <v>712</v>
      </c>
      <c r="F161" s="266"/>
      <c r="G161" s="266"/>
      <c r="H161" s="268" t="s">
        <v>164</v>
      </c>
      <c r="I161" s="268" t="s">
        <v>713</v>
      </c>
      <c r="J161" s="268" t="s">
        <v>62</v>
      </c>
      <c r="K161" s="268"/>
      <c r="L161" s="269">
        <v>45443</v>
      </c>
      <c r="M161" s="269"/>
      <c r="N161" s="266" t="s">
        <v>441</v>
      </c>
      <c r="O161" s="270">
        <v>6950</v>
      </c>
      <c r="P161" s="266"/>
      <c r="Q161" s="271"/>
      <c r="R161" s="272"/>
      <c r="S161" s="271"/>
      <c r="T161" s="268"/>
      <c r="U161" s="273" t="s">
        <v>66</v>
      </c>
      <c r="V161" s="269" t="s">
        <v>702</v>
      </c>
      <c r="W161" s="268" t="s">
        <v>45</v>
      </c>
      <c r="X161" s="274">
        <v>84000</v>
      </c>
      <c r="Y161" s="268" t="s">
        <v>215</v>
      </c>
      <c r="Z161" s="268"/>
      <c r="AA161" s="275"/>
      <c r="AB161" s="275"/>
      <c r="AC161" s="269"/>
      <c r="AD161" s="276"/>
      <c r="AE161" s="277"/>
    </row>
    <row r="162" spans="1:46" s="15" customFormat="1" ht="18" hidden="1" customHeight="1" x14ac:dyDescent="0.25">
      <c r="A162" s="9" t="s">
        <v>714</v>
      </c>
      <c r="B162" s="4">
        <v>26137</v>
      </c>
      <c r="C162" s="5">
        <v>55000</v>
      </c>
      <c r="D162" s="4" t="s">
        <v>48</v>
      </c>
      <c r="E162" s="12" t="s">
        <v>715</v>
      </c>
      <c r="F162" s="6" t="s">
        <v>716</v>
      </c>
      <c r="G162" s="6" t="s">
        <v>36</v>
      </c>
      <c r="H162" s="4" t="s">
        <v>51</v>
      </c>
      <c r="I162" s="4"/>
      <c r="J162" s="4" t="s">
        <v>493</v>
      </c>
      <c r="K162" s="4"/>
      <c r="L162" s="7">
        <v>45373</v>
      </c>
      <c r="M162" s="8"/>
      <c r="N162" s="6" t="s">
        <v>40</v>
      </c>
      <c r="O162" s="13">
        <v>575</v>
      </c>
      <c r="P162" s="6" t="s">
        <v>80</v>
      </c>
      <c r="Q162" s="41">
        <f t="shared" ref="Q162:Q167" si="5">+O162/C162</f>
        <v>1.0454545454545454E-2</v>
      </c>
      <c r="R162" s="4"/>
      <c r="S162" s="4"/>
      <c r="T162" s="7">
        <v>45442</v>
      </c>
      <c r="U162" s="67" t="s">
        <v>43</v>
      </c>
      <c r="V162" s="7">
        <v>45449</v>
      </c>
      <c r="W162" s="10" t="s">
        <v>358</v>
      </c>
      <c r="X162" s="236">
        <f>34900-12300</f>
        <v>22600</v>
      </c>
      <c r="Y162" s="8" t="s">
        <v>341</v>
      </c>
      <c r="Z162" s="8"/>
      <c r="AA162" s="78"/>
      <c r="AB162" s="232"/>
      <c r="AC162" s="71">
        <v>45443</v>
      </c>
      <c r="AD162" s="38" t="s">
        <v>717</v>
      </c>
      <c r="AE162" s="71">
        <v>45450</v>
      </c>
    </row>
    <row r="163" spans="1:46" s="2" customFormat="1" ht="18" hidden="1" customHeight="1" x14ac:dyDescent="0.25">
      <c r="A163" s="230" t="s">
        <v>718</v>
      </c>
      <c r="B163" s="98">
        <v>26176</v>
      </c>
      <c r="C163" s="99">
        <v>40000</v>
      </c>
      <c r="D163" s="100" t="s">
        <v>249</v>
      </c>
      <c r="E163" s="101" t="s">
        <v>719</v>
      </c>
      <c r="F163" s="100"/>
      <c r="G163" s="100"/>
      <c r="H163" s="108" t="s">
        <v>37</v>
      </c>
      <c r="I163" s="108" t="s">
        <v>720</v>
      </c>
      <c r="J163" s="108" t="s">
        <v>62</v>
      </c>
      <c r="K163" s="108"/>
      <c r="L163" s="102">
        <v>45443</v>
      </c>
      <c r="M163" s="103"/>
      <c r="N163" s="98" t="s">
        <v>441</v>
      </c>
      <c r="O163" s="105">
        <v>6950</v>
      </c>
      <c r="P163" s="98" t="s">
        <v>80</v>
      </c>
      <c r="Q163" s="123">
        <f t="shared" si="5"/>
        <v>0.17374999999999999</v>
      </c>
      <c r="R163" s="102"/>
      <c r="S163" s="123"/>
      <c r="T163" s="34"/>
      <c r="U163" s="100" t="s">
        <v>66</v>
      </c>
      <c r="V163" s="34">
        <v>45449</v>
      </c>
      <c r="W163" s="107" t="s">
        <v>721</v>
      </c>
      <c r="X163" s="50">
        <v>84000</v>
      </c>
      <c r="Y163" s="108" t="s">
        <v>215</v>
      </c>
      <c r="Z163" s="108"/>
      <c r="AA163" s="78"/>
      <c r="AB163" s="78"/>
      <c r="AC163" s="71">
        <v>45447</v>
      </c>
      <c r="AD163" s="11"/>
      <c r="AE163" s="71">
        <v>45449</v>
      </c>
      <c r="AF163" s="15"/>
      <c r="AG163" s="15"/>
      <c r="AH163" s="15"/>
      <c r="AI163" s="15"/>
      <c r="AJ163" s="15"/>
      <c r="AK163" s="15"/>
      <c r="AL163" s="15"/>
    </row>
    <row r="164" spans="1:46" s="15" customFormat="1" ht="18" hidden="1" customHeight="1" x14ac:dyDescent="0.25">
      <c r="A164" s="209" t="s">
        <v>47</v>
      </c>
      <c r="B164" s="6">
        <v>25785</v>
      </c>
      <c r="C164" s="5">
        <v>55000</v>
      </c>
      <c r="D164" s="6" t="s">
        <v>48</v>
      </c>
      <c r="E164" s="6" t="s">
        <v>49</v>
      </c>
      <c r="F164" s="4" t="s">
        <v>722</v>
      </c>
      <c r="G164" s="4" t="s">
        <v>108</v>
      </c>
      <c r="H164" s="6" t="s">
        <v>51</v>
      </c>
      <c r="I164" s="6"/>
      <c r="J164" s="6" t="s">
        <v>479</v>
      </c>
      <c r="K164" s="6"/>
      <c r="L164" s="7">
        <v>45411</v>
      </c>
      <c r="M164" s="7"/>
      <c r="N164" s="73" t="s">
        <v>40</v>
      </c>
      <c r="O164" s="13">
        <v>575</v>
      </c>
      <c r="P164" s="6" t="s">
        <v>80</v>
      </c>
      <c r="Q164" s="19">
        <f t="shared" si="5"/>
        <v>1.0454545454545454E-2</v>
      </c>
      <c r="R164" s="219"/>
      <c r="S164" s="36"/>
      <c r="T164" s="7">
        <v>45447</v>
      </c>
      <c r="U164" s="17" t="s">
        <v>43</v>
      </c>
      <c r="V164" s="7">
        <v>45449</v>
      </c>
      <c r="W164" s="10" t="s">
        <v>358</v>
      </c>
      <c r="X164" s="236">
        <v>23462</v>
      </c>
      <c r="Y164" s="11" t="s">
        <v>341</v>
      </c>
      <c r="Z164" s="11"/>
      <c r="AA164" s="78"/>
      <c r="AB164" s="71">
        <v>45448</v>
      </c>
      <c r="AC164" s="71">
        <v>45448</v>
      </c>
      <c r="AD164" s="38"/>
      <c r="AE164" s="71">
        <v>45450</v>
      </c>
    </row>
    <row r="165" spans="1:46" s="15" customFormat="1" ht="18" hidden="1" customHeight="1" x14ac:dyDescent="0.25">
      <c r="A165" s="209" t="s">
        <v>636</v>
      </c>
      <c r="B165" s="6">
        <v>25732</v>
      </c>
      <c r="C165" s="5">
        <v>37400</v>
      </c>
      <c r="D165" s="6" t="s">
        <v>105</v>
      </c>
      <c r="E165" s="6" t="s">
        <v>723</v>
      </c>
      <c r="F165" s="6" t="s">
        <v>724</v>
      </c>
      <c r="G165" s="6" t="s">
        <v>36</v>
      </c>
      <c r="H165" s="11" t="s">
        <v>37</v>
      </c>
      <c r="I165" s="11" t="s">
        <v>182</v>
      </c>
      <c r="J165" s="11" t="s">
        <v>183</v>
      </c>
      <c r="K165" s="11"/>
      <c r="L165" s="7">
        <v>45391</v>
      </c>
      <c r="M165" s="7" t="s">
        <v>414</v>
      </c>
      <c r="N165" s="6" t="s">
        <v>40</v>
      </c>
      <c r="O165" s="13">
        <f>3850+60+2.5+575</f>
        <v>4487.5</v>
      </c>
      <c r="P165" s="6" t="s">
        <v>41</v>
      </c>
      <c r="Q165" s="36">
        <f t="shared" si="5"/>
        <v>0.11998663101604277</v>
      </c>
      <c r="R165" s="7">
        <v>45436</v>
      </c>
      <c r="S165" s="41" t="s">
        <v>65</v>
      </c>
      <c r="T165" s="65">
        <v>45448</v>
      </c>
      <c r="U165" s="46" t="s">
        <v>76</v>
      </c>
      <c r="V165" s="7">
        <v>45449</v>
      </c>
      <c r="W165" s="10" t="s">
        <v>725</v>
      </c>
      <c r="X165" s="236">
        <v>71400</v>
      </c>
      <c r="Y165" s="11" t="s">
        <v>68</v>
      </c>
      <c r="Z165" s="11"/>
      <c r="AA165" s="11">
        <v>45448</v>
      </c>
      <c r="AB165" s="7">
        <v>45448</v>
      </c>
      <c r="AC165" s="7">
        <v>45448</v>
      </c>
      <c r="AD165" s="48"/>
      <c r="AE165" s="71">
        <v>45454</v>
      </c>
    </row>
    <row r="166" spans="1:46" s="15" customFormat="1" ht="18" hidden="1" customHeight="1" x14ac:dyDescent="0.25">
      <c r="A166" s="209" t="s">
        <v>636</v>
      </c>
      <c r="B166" s="6">
        <v>25733</v>
      </c>
      <c r="C166" s="44">
        <v>35200</v>
      </c>
      <c r="D166" s="4" t="s">
        <v>105</v>
      </c>
      <c r="E166" s="6" t="s">
        <v>726</v>
      </c>
      <c r="F166" s="4" t="s">
        <v>727</v>
      </c>
      <c r="G166" s="6" t="s">
        <v>36</v>
      </c>
      <c r="H166" s="11" t="s">
        <v>37</v>
      </c>
      <c r="I166" s="11" t="s">
        <v>182</v>
      </c>
      <c r="J166" s="11" t="s">
        <v>183</v>
      </c>
      <c r="K166" s="11"/>
      <c r="L166" s="7">
        <v>45391</v>
      </c>
      <c r="M166" s="7" t="s">
        <v>414</v>
      </c>
      <c r="N166" s="6" t="s">
        <v>40</v>
      </c>
      <c r="O166" s="131">
        <f>3850+60+2.5+575</f>
        <v>4487.5</v>
      </c>
      <c r="P166" s="6" t="s">
        <v>41</v>
      </c>
      <c r="Q166" s="41">
        <f t="shared" si="5"/>
        <v>0.12748579545454544</v>
      </c>
      <c r="R166" s="7">
        <v>45436</v>
      </c>
      <c r="S166" s="41" t="s">
        <v>65</v>
      </c>
      <c r="T166" s="7">
        <v>45448</v>
      </c>
      <c r="U166" s="46" t="s">
        <v>76</v>
      </c>
      <c r="V166" s="7">
        <v>45450</v>
      </c>
      <c r="W166" s="10" t="s">
        <v>45</v>
      </c>
      <c r="X166" s="236">
        <v>72200</v>
      </c>
      <c r="Y166" s="11" t="s">
        <v>68</v>
      </c>
      <c r="Z166" s="11"/>
      <c r="AA166" s="71">
        <v>45448</v>
      </c>
      <c r="AB166" s="71">
        <v>45448</v>
      </c>
      <c r="AC166" s="71">
        <v>45448</v>
      </c>
      <c r="AD166" s="11"/>
      <c r="AE166" s="71">
        <v>45454</v>
      </c>
    </row>
    <row r="167" spans="1:46" s="30" customFormat="1" ht="18" hidden="1" customHeight="1" x14ac:dyDescent="0.25">
      <c r="A167" s="109" t="s">
        <v>274</v>
      </c>
      <c r="B167" s="22">
        <v>26385</v>
      </c>
      <c r="C167" s="246">
        <v>40000</v>
      </c>
      <c r="D167" s="22" t="s">
        <v>249</v>
      </c>
      <c r="E167" s="22" t="s">
        <v>728</v>
      </c>
      <c r="F167" s="22"/>
      <c r="G167" s="22"/>
      <c r="H167" s="24" t="s">
        <v>37</v>
      </c>
      <c r="I167" s="24" t="s">
        <v>729</v>
      </c>
      <c r="J167" s="24" t="s">
        <v>62</v>
      </c>
      <c r="K167" s="24"/>
      <c r="L167" s="25"/>
      <c r="M167" s="25"/>
      <c r="N167" s="22" t="s">
        <v>441</v>
      </c>
      <c r="O167" s="247">
        <v>6950</v>
      </c>
      <c r="P167" s="22" t="s">
        <v>80</v>
      </c>
      <c r="Q167" s="27">
        <f t="shared" si="5"/>
        <v>0.17374999999999999</v>
      </c>
      <c r="R167" s="217"/>
      <c r="S167" s="27"/>
      <c r="T167" s="24"/>
      <c r="U167" s="28" t="s">
        <v>66</v>
      </c>
      <c r="V167" s="25">
        <v>45450</v>
      </c>
      <c r="W167" s="24" t="s">
        <v>45</v>
      </c>
      <c r="X167" s="248">
        <v>94000</v>
      </c>
      <c r="Y167" s="24" t="s">
        <v>215</v>
      </c>
      <c r="Z167" s="24"/>
      <c r="AA167" s="78"/>
      <c r="AB167" s="78"/>
      <c r="AC167" s="71">
        <v>45448</v>
      </c>
      <c r="AD167" s="38"/>
      <c r="AE167" s="71">
        <v>45449</v>
      </c>
      <c r="AF167" s="15"/>
      <c r="AG167" s="15"/>
      <c r="AH167" s="15"/>
      <c r="AI167" s="15"/>
      <c r="AJ167" s="15"/>
      <c r="AK167" s="15"/>
      <c r="AL167" s="15"/>
      <c r="AM167" s="15"/>
      <c r="AN167" s="15"/>
      <c r="AO167" s="15"/>
      <c r="AP167" s="15"/>
      <c r="AQ167" s="15"/>
      <c r="AR167" s="15"/>
      <c r="AS167" s="15"/>
      <c r="AT167" s="15"/>
    </row>
    <row r="168" spans="1:46" ht="18" hidden="1" customHeight="1" x14ac:dyDescent="0.25">
      <c r="A168" s="230" t="s">
        <v>175</v>
      </c>
      <c r="B168" s="98">
        <v>24646</v>
      </c>
      <c r="C168" s="99">
        <v>44000</v>
      </c>
      <c r="D168" s="100" t="s">
        <v>105</v>
      </c>
      <c r="E168" s="101" t="s">
        <v>360</v>
      </c>
      <c r="F168" s="100" t="s">
        <v>730</v>
      </c>
      <c r="G168" s="100" t="s">
        <v>587</v>
      </c>
      <c r="H168" s="100" t="s">
        <v>51</v>
      </c>
      <c r="I168" s="100"/>
      <c r="J168" s="100" t="s">
        <v>75</v>
      </c>
      <c r="K168" s="100"/>
      <c r="L168" s="102">
        <v>45409</v>
      </c>
      <c r="M168" s="103"/>
      <c r="N168" s="98"/>
      <c r="O168" s="105"/>
      <c r="P168" s="98"/>
      <c r="Q168" s="123"/>
      <c r="R168" s="102"/>
      <c r="S168" s="123"/>
      <c r="T168" s="34">
        <v>45445</v>
      </c>
      <c r="U168" s="100" t="s">
        <v>731</v>
      </c>
      <c r="V168" s="34">
        <v>45450</v>
      </c>
      <c r="W168" s="107" t="s">
        <v>732</v>
      </c>
      <c r="X168" s="62">
        <v>33000</v>
      </c>
      <c r="Y168" s="108" t="s">
        <v>341</v>
      </c>
      <c r="Z168" s="108"/>
      <c r="AA168" s="78"/>
      <c r="AB168" s="7">
        <v>45443</v>
      </c>
      <c r="AC168" s="71">
        <v>45446</v>
      </c>
      <c r="AD168" s="79"/>
      <c r="AE168" s="71">
        <v>45450</v>
      </c>
    </row>
    <row r="169" spans="1:46" s="30" customFormat="1" ht="18" hidden="1" customHeight="1" x14ac:dyDescent="0.25">
      <c r="A169" s="21" t="s">
        <v>259</v>
      </c>
      <c r="B169" s="22">
        <v>26657</v>
      </c>
      <c r="C169" s="246">
        <v>11880</v>
      </c>
      <c r="D169" s="256">
        <v>6</v>
      </c>
      <c r="E169" s="22" t="s">
        <v>273</v>
      </c>
      <c r="F169" s="22"/>
      <c r="G169" s="22"/>
      <c r="H169" s="24" t="s">
        <v>37</v>
      </c>
      <c r="I169" s="24" t="s">
        <v>261</v>
      </c>
      <c r="J169" s="24" t="s">
        <v>53</v>
      </c>
      <c r="K169" s="24"/>
      <c r="L169" s="255">
        <v>45448</v>
      </c>
      <c r="M169" s="25"/>
      <c r="N169" s="22"/>
      <c r="O169" s="247"/>
      <c r="P169" s="22"/>
      <c r="Q169" s="27"/>
      <c r="R169" s="217"/>
      <c r="S169" s="27"/>
      <c r="T169" s="24"/>
      <c r="U169" s="245" t="s">
        <v>66</v>
      </c>
      <c r="V169" s="25">
        <v>45453</v>
      </c>
      <c r="W169" s="24" t="s">
        <v>45</v>
      </c>
      <c r="X169" s="248">
        <v>21978</v>
      </c>
      <c r="Y169" s="24" t="s">
        <v>215</v>
      </c>
      <c r="Z169" s="24"/>
      <c r="AA169" s="78"/>
      <c r="AB169" s="78"/>
      <c r="AC169" s="78"/>
      <c r="AD169" s="38"/>
      <c r="AE169" s="71" t="s">
        <v>378</v>
      </c>
      <c r="AF169" s="15"/>
      <c r="AG169" s="15"/>
      <c r="AH169" s="15"/>
      <c r="AI169" s="15"/>
      <c r="AJ169" s="15"/>
      <c r="AK169" s="15"/>
      <c r="AL169" s="15"/>
      <c r="AM169" s="15"/>
      <c r="AN169" s="15"/>
      <c r="AO169" s="15"/>
      <c r="AP169" s="15"/>
      <c r="AQ169" s="15"/>
      <c r="AR169" s="15"/>
      <c r="AS169" s="15"/>
      <c r="AT169" s="15"/>
    </row>
    <row r="170" spans="1:46" s="30" customFormat="1" ht="18" hidden="1" customHeight="1" x14ac:dyDescent="0.25">
      <c r="A170" s="21" t="s">
        <v>259</v>
      </c>
      <c r="B170" s="22">
        <v>26022</v>
      </c>
      <c r="C170" s="246">
        <v>2250</v>
      </c>
      <c r="D170" s="256">
        <v>1</v>
      </c>
      <c r="E170" s="22" t="s">
        <v>733</v>
      </c>
      <c r="F170" s="22"/>
      <c r="G170" s="22"/>
      <c r="H170" s="24" t="s">
        <v>37</v>
      </c>
      <c r="I170" s="24" t="s">
        <v>261</v>
      </c>
      <c r="J170" s="24" t="s">
        <v>53</v>
      </c>
      <c r="K170" s="24"/>
      <c r="L170" s="255">
        <v>45448</v>
      </c>
      <c r="M170" s="25"/>
      <c r="N170" s="22"/>
      <c r="O170" s="247"/>
      <c r="P170" s="22"/>
      <c r="Q170" s="27"/>
      <c r="R170" s="217"/>
      <c r="S170" s="27"/>
      <c r="T170" s="24"/>
      <c r="U170" s="245" t="s">
        <v>66</v>
      </c>
      <c r="V170" s="25">
        <v>45453</v>
      </c>
      <c r="W170" s="24" t="s">
        <v>45</v>
      </c>
      <c r="X170" s="248">
        <v>6597</v>
      </c>
      <c r="Y170" s="24" t="s">
        <v>215</v>
      </c>
      <c r="Z170" s="24"/>
      <c r="AA170" s="78"/>
      <c r="AB170" s="78"/>
      <c r="AC170" s="78"/>
      <c r="AD170" s="38"/>
      <c r="AE170" s="71" t="s">
        <v>378</v>
      </c>
      <c r="AF170" s="15"/>
      <c r="AG170" s="15"/>
      <c r="AH170" s="15"/>
      <c r="AI170" s="15"/>
      <c r="AJ170" s="15"/>
      <c r="AK170" s="15"/>
      <c r="AL170" s="15"/>
      <c r="AM170" s="15"/>
      <c r="AN170" s="15"/>
      <c r="AO170" s="15"/>
      <c r="AP170" s="15"/>
      <c r="AQ170" s="15"/>
      <c r="AR170" s="15"/>
      <c r="AS170" s="15"/>
      <c r="AT170" s="15"/>
    </row>
    <row r="171" spans="1:46" s="30" customFormat="1" ht="18" hidden="1" customHeight="1" x14ac:dyDescent="0.25">
      <c r="A171" s="21" t="s">
        <v>259</v>
      </c>
      <c r="B171" s="22">
        <v>26658</v>
      </c>
      <c r="C171" s="246">
        <v>11250</v>
      </c>
      <c r="D171" s="256">
        <v>5</v>
      </c>
      <c r="E171" s="22" t="s">
        <v>519</v>
      </c>
      <c r="F171" s="22"/>
      <c r="G171" s="22"/>
      <c r="H171" s="24" t="s">
        <v>37</v>
      </c>
      <c r="I171" s="24" t="s">
        <v>261</v>
      </c>
      <c r="J171" s="24" t="s">
        <v>53</v>
      </c>
      <c r="K171" s="24"/>
      <c r="L171" s="255">
        <v>45448</v>
      </c>
      <c r="M171" s="25"/>
      <c r="N171" s="22"/>
      <c r="O171" s="247"/>
      <c r="P171" s="22"/>
      <c r="Q171" s="27"/>
      <c r="R171" s="217"/>
      <c r="S171" s="27"/>
      <c r="T171" s="24"/>
      <c r="U171" s="245" t="s">
        <v>66</v>
      </c>
      <c r="V171" s="25">
        <v>45453</v>
      </c>
      <c r="W171" s="24" t="s">
        <v>45</v>
      </c>
      <c r="X171" s="248">
        <v>62775</v>
      </c>
      <c r="Y171" s="24" t="s">
        <v>215</v>
      </c>
      <c r="Z171" s="24"/>
      <c r="AA171" s="78"/>
      <c r="AB171" s="78"/>
      <c r="AC171" s="78"/>
      <c r="AD171" s="38"/>
      <c r="AE171" s="71" t="s">
        <v>378</v>
      </c>
      <c r="AF171" s="15"/>
      <c r="AG171" s="15"/>
      <c r="AH171" s="15"/>
      <c r="AI171" s="15"/>
      <c r="AJ171" s="15"/>
      <c r="AK171" s="15"/>
      <c r="AL171" s="15"/>
      <c r="AM171" s="15"/>
      <c r="AN171" s="15"/>
      <c r="AO171" s="15"/>
      <c r="AP171" s="15"/>
      <c r="AQ171" s="15"/>
      <c r="AR171" s="15"/>
      <c r="AS171" s="15"/>
      <c r="AT171" s="15"/>
    </row>
    <row r="172" spans="1:46" s="30" customFormat="1" ht="18" hidden="1" customHeight="1" x14ac:dyDescent="0.25">
      <c r="A172" s="21" t="s">
        <v>259</v>
      </c>
      <c r="B172" s="22">
        <v>26665</v>
      </c>
      <c r="C172" s="246">
        <v>15750</v>
      </c>
      <c r="D172" s="256">
        <v>7</v>
      </c>
      <c r="E172" s="22" t="s">
        <v>260</v>
      </c>
      <c r="F172" s="22"/>
      <c r="G172" s="22"/>
      <c r="H172" s="24" t="s">
        <v>37</v>
      </c>
      <c r="I172" s="24" t="s">
        <v>261</v>
      </c>
      <c r="J172" s="24" t="s">
        <v>53</v>
      </c>
      <c r="K172" s="24"/>
      <c r="L172" s="255">
        <v>45448</v>
      </c>
      <c r="M172" s="25"/>
      <c r="N172" s="22"/>
      <c r="O172" s="247"/>
      <c r="P172" s="22"/>
      <c r="Q172" s="27"/>
      <c r="R172" s="217"/>
      <c r="S172" s="27"/>
      <c r="T172" s="24"/>
      <c r="U172" s="245" t="s">
        <v>66</v>
      </c>
      <c r="V172" s="25">
        <v>45453</v>
      </c>
      <c r="W172" s="24" t="s">
        <v>45</v>
      </c>
      <c r="X172" s="248">
        <v>21578</v>
      </c>
      <c r="Y172" s="24" t="s">
        <v>215</v>
      </c>
      <c r="Z172" s="24"/>
      <c r="AA172" s="78"/>
      <c r="AB172" s="78"/>
      <c r="AC172" s="78"/>
      <c r="AD172" s="38"/>
      <c r="AE172" s="71" t="s">
        <v>378</v>
      </c>
      <c r="AF172" s="15"/>
      <c r="AG172" s="15"/>
      <c r="AH172" s="15"/>
      <c r="AI172" s="15"/>
      <c r="AJ172" s="15"/>
      <c r="AK172" s="15"/>
      <c r="AL172" s="15"/>
      <c r="AM172" s="15"/>
      <c r="AN172" s="15"/>
      <c r="AO172" s="15"/>
      <c r="AP172" s="15"/>
      <c r="AQ172" s="15"/>
      <c r="AR172" s="15"/>
      <c r="AS172" s="15"/>
      <c r="AT172" s="15"/>
    </row>
    <row r="173" spans="1:46" s="15" customFormat="1" ht="18" hidden="1" customHeight="1" x14ac:dyDescent="0.25">
      <c r="A173" s="209" t="s">
        <v>175</v>
      </c>
      <c r="B173" s="6">
        <v>24486</v>
      </c>
      <c r="C173" s="5">
        <v>44000</v>
      </c>
      <c r="D173" s="6" t="s">
        <v>105</v>
      </c>
      <c r="E173" s="6" t="s">
        <v>176</v>
      </c>
      <c r="F173" s="6" t="s">
        <v>734</v>
      </c>
      <c r="G173" s="6" t="s">
        <v>687</v>
      </c>
      <c r="H173" s="6" t="s">
        <v>51</v>
      </c>
      <c r="I173" s="6"/>
      <c r="J173" s="6" t="s">
        <v>75</v>
      </c>
      <c r="K173" s="6"/>
      <c r="L173" s="7">
        <v>45398</v>
      </c>
      <c r="M173" s="7"/>
      <c r="N173" s="73" t="s">
        <v>40</v>
      </c>
      <c r="O173" s="13">
        <v>575</v>
      </c>
      <c r="P173" s="6" t="s">
        <v>80</v>
      </c>
      <c r="Q173" s="19">
        <f t="shared" ref="Q173:Q184" si="6">+O173/C173</f>
        <v>1.3068181818181817E-2</v>
      </c>
      <c r="R173" s="7">
        <v>45434</v>
      </c>
      <c r="S173" s="41" t="s">
        <v>65</v>
      </c>
      <c r="T173" s="7">
        <v>45449</v>
      </c>
      <c r="U173" s="46" t="s">
        <v>178</v>
      </c>
      <c r="V173" s="10" t="s">
        <v>735</v>
      </c>
      <c r="W173" s="10" t="s">
        <v>45</v>
      </c>
      <c r="X173" s="236">
        <v>31000</v>
      </c>
      <c r="Y173" s="11" t="s">
        <v>341</v>
      </c>
      <c r="Z173" s="11"/>
      <c r="AA173" s="78"/>
      <c r="AB173" s="7">
        <v>45449</v>
      </c>
      <c r="AC173" s="71">
        <v>45448</v>
      </c>
      <c r="AD173" s="40"/>
      <c r="AE173" s="71">
        <v>45458</v>
      </c>
    </row>
    <row r="174" spans="1:46" s="2" customFormat="1" ht="18" hidden="1" x14ac:dyDescent="0.25">
      <c r="A174" s="226" t="s">
        <v>364</v>
      </c>
      <c r="B174" s="231" t="s">
        <v>736</v>
      </c>
      <c r="C174" s="5">
        <v>55000</v>
      </c>
      <c r="D174" s="4" t="s">
        <v>33</v>
      </c>
      <c r="E174" s="12" t="s">
        <v>737</v>
      </c>
      <c r="F174" s="4" t="s">
        <v>738</v>
      </c>
      <c r="G174" s="4" t="s">
        <v>36</v>
      </c>
      <c r="H174" s="6" t="s">
        <v>51</v>
      </c>
      <c r="I174" s="8"/>
      <c r="J174" s="4" t="s">
        <v>75</v>
      </c>
      <c r="K174" s="4"/>
      <c r="L174" s="7">
        <v>45406</v>
      </c>
      <c r="M174" s="8"/>
      <c r="N174" s="73" t="s">
        <v>40</v>
      </c>
      <c r="O174" s="13">
        <v>575</v>
      </c>
      <c r="P174" s="6" t="s">
        <v>80</v>
      </c>
      <c r="Q174" s="19">
        <f t="shared" si="6"/>
        <v>1.0454545454545454E-2</v>
      </c>
      <c r="R174" s="7">
        <v>45426</v>
      </c>
      <c r="S174" s="41" t="s">
        <v>65</v>
      </c>
      <c r="T174" s="7">
        <v>45451</v>
      </c>
      <c r="U174" s="67" t="s">
        <v>76</v>
      </c>
      <c r="V174" s="10" t="s">
        <v>735</v>
      </c>
      <c r="W174" s="10" t="s">
        <v>45</v>
      </c>
      <c r="X174" s="236">
        <v>95750</v>
      </c>
      <c r="Y174" s="11" t="s">
        <v>341</v>
      </c>
      <c r="Z174" s="11"/>
      <c r="AA174" s="78"/>
      <c r="AB174" s="7">
        <v>45449</v>
      </c>
      <c r="AC174" s="7">
        <v>45451</v>
      </c>
      <c r="AD174" s="11"/>
      <c r="AE174" s="71">
        <v>45458</v>
      </c>
      <c r="AF174" s="15"/>
      <c r="AG174" s="15"/>
      <c r="AH174" s="15"/>
      <c r="AI174" s="15"/>
      <c r="AJ174" s="15"/>
      <c r="AK174" s="15"/>
      <c r="AL174" s="15"/>
      <c r="AM174" s="15"/>
      <c r="AN174" s="15"/>
      <c r="AO174" s="15"/>
    </row>
    <row r="175" spans="1:46" s="15" customFormat="1" ht="18" hidden="1" customHeight="1" x14ac:dyDescent="0.25">
      <c r="A175" s="209" t="s">
        <v>470</v>
      </c>
      <c r="B175" s="6">
        <v>25997</v>
      </c>
      <c r="C175" s="44">
        <v>55000</v>
      </c>
      <c r="D175" s="6" t="s">
        <v>48</v>
      </c>
      <c r="E175" s="6" t="s">
        <v>471</v>
      </c>
      <c r="F175" s="6" t="s">
        <v>739</v>
      </c>
      <c r="G175" s="6" t="s">
        <v>36</v>
      </c>
      <c r="H175" s="45" t="s">
        <v>109</v>
      </c>
      <c r="I175" s="6"/>
      <c r="J175" s="45" t="s">
        <v>473</v>
      </c>
      <c r="K175" s="45"/>
      <c r="L175" s="7">
        <v>45394</v>
      </c>
      <c r="M175" s="7"/>
      <c r="N175" s="73" t="s">
        <v>40</v>
      </c>
      <c r="O175" s="13">
        <v>575</v>
      </c>
      <c r="P175" s="6" t="s">
        <v>80</v>
      </c>
      <c r="Q175" s="19">
        <f t="shared" si="6"/>
        <v>1.0454545454545454E-2</v>
      </c>
      <c r="R175" s="221"/>
      <c r="S175" s="161"/>
      <c r="T175" s="7">
        <v>45449</v>
      </c>
      <c r="U175" s="46" t="s">
        <v>43</v>
      </c>
      <c r="V175" s="10" t="s">
        <v>735</v>
      </c>
      <c r="W175" s="10" t="s">
        <v>45</v>
      </c>
      <c r="X175" s="236">
        <v>60995</v>
      </c>
      <c r="Y175" s="11" t="s">
        <v>68</v>
      </c>
      <c r="Z175" s="11"/>
      <c r="AA175" s="7">
        <v>45450</v>
      </c>
      <c r="AB175" s="7">
        <v>45450</v>
      </c>
      <c r="AC175" s="7">
        <v>45449</v>
      </c>
      <c r="AD175" s="38"/>
      <c r="AE175" s="71">
        <v>45458</v>
      </c>
    </row>
    <row r="176" spans="1:46" s="30" customFormat="1" ht="18" hidden="1" customHeight="1" x14ac:dyDescent="0.25">
      <c r="A176" s="86" t="s">
        <v>254</v>
      </c>
      <c r="B176" s="22">
        <v>26411</v>
      </c>
      <c r="C176" s="23">
        <v>12400</v>
      </c>
      <c r="D176" s="22">
        <v>5</v>
      </c>
      <c r="E176" s="22" t="s">
        <v>740</v>
      </c>
      <c r="F176" s="22"/>
      <c r="G176" s="22"/>
      <c r="H176" s="24" t="s">
        <v>37</v>
      </c>
      <c r="I176" s="24" t="s">
        <v>741</v>
      </c>
      <c r="J176" s="24" t="s">
        <v>62</v>
      </c>
      <c r="K176" s="24"/>
      <c r="L176" s="25"/>
      <c r="M176" s="25"/>
      <c r="N176" s="22" t="s">
        <v>742</v>
      </c>
      <c r="O176" s="26">
        <v>1295</v>
      </c>
      <c r="P176" s="22" t="s">
        <v>80</v>
      </c>
      <c r="Q176" s="259">
        <f t="shared" si="6"/>
        <v>0.10443548387096774</v>
      </c>
      <c r="R176" s="217"/>
      <c r="S176" s="27"/>
      <c r="T176" s="25"/>
      <c r="U176" s="28" t="s">
        <v>66</v>
      </c>
      <c r="V176" s="25" t="s">
        <v>735</v>
      </c>
      <c r="W176" s="24" t="s">
        <v>45</v>
      </c>
      <c r="X176" s="29">
        <v>18851</v>
      </c>
      <c r="Y176" s="24" t="s">
        <v>215</v>
      </c>
      <c r="Z176" s="24"/>
      <c r="AA176" s="78"/>
      <c r="AB176" s="78"/>
      <c r="AC176" s="7">
        <v>45451</v>
      </c>
      <c r="AD176" s="6"/>
      <c r="AE176" s="71">
        <v>45455</v>
      </c>
      <c r="AF176" s="15"/>
      <c r="AG176" s="15"/>
      <c r="AH176" s="15"/>
      <c r="AI176" s="15"/>
      <c r="AJ176" s="15"/>
      <c r="AK176" s="15"/>
      <c r="AL176" s="15"/>
      <c r="AM176" s="15"/>
      <c r="AN176" s="15"/>
      <c r="AO176" s="15"/>
      <c r="AP176" s="15"/>
      <c r="AQ176" s="15"/>
      <c r="AR176" s="15"/>
      <c r="AS176" s="15"/>
      <c r="AT176" s="15"/>
    </row>
    <row r="177" spans="1:46" s="15" customFormat="1" ht="24.95" hidden="1" customHeight="1" x14ac:dyDescent="0.25">
      <c r="A177" s="209" t="s">
        <v>104</v>
      </c>
      <c r="B177" s="6">
        <v>25919</v>
      </c>
      <c r="C177" s="5">
        <v>55000</v>
      </c>
      <c r="D177" s="6" t="s">
        <v>33</v>
      </c>
      <c r="E177" s="6" t="s">
        <v>743</v>
      </c>
      <c r="F177" s="6" t="s">
        <v>744</v>
      </c>
      <c r="G177" s="6" t="s">
        <v>36</v>
      </c>
      <c r="H177" s="6" t="s">
        <v>592</v>
      </c>
      <c r="I177" s="6"/>
      <c r="J177" s="45" t="s">
        <v>473</v>
      </c>
      <c r="K177" s="45"/>
      <c r="L177" s="7">
        <v>45399</v>
      </c>
      <c r="M177" s="7"/>
      <c r="N177" s="73" t="s">
        <v>40</v>
      </c>
      <c r="O177" s="13">
        <v>575</v>
      </c>
      <c r="P177" s="6" t="s">
        <v>80</v>
      </c>
      <c r="Q177" s="19">
        <f t="shared" si="6"/>
        <v>1.0454545454545454E-2</v>
      </c>
      <c r="R177" s="219"/>
      <c r="S177" s="36"/>
      <c r="T177" s="7">
        <v>45449</v>
      </c>
      <c r="U177" s="46" t="s">
        <v>43</v>
      </c>
      <c r="V177" s="7">
        <v>45455</v>
      </c>
      <c r="W177" s="10" t="s">
        <v>45</v>
      </c>
      <c r="X177" s="236">
        <v>59988</v>
      </c>
      <c r="Y177" s="11" t="s">
        <v>341</v>
      </c>
      <c r="Z177" s="11"/>
      <c r="AA177" s="78"/>
      <c r="AB177" s="7">
        <v>45453</v>
      </c>
      <c r="AC177" s="7">
        <v>45449</v>
      </c>
      <c r="AD177" s="48"/>
      <c r="AE177" s="71">
        <v>45458</v>
      </c>
    </row>
    <row r="178" spans="1:46" s="15" customFormat="1" ht="24.95" hidden="1" customHeight="1" x14ac:dyDescent="0.25">
      <c r="A178" s="209" t="s">
        <v>745</v>
      </c>
      <c r="B178" s="6">
        <v>25965</v>
      </c>
      <c r="C178" s="5">
        <v>34100</v>
      </c>
      <c r="D178" s="6" t="s">
        <v>105</v>
      </c>
      <c r="E178" s="6" t="s">
        <v>746</v>
      </c>
      <c r="F178" s="6" t="s">
        <v>747</v>
      </c>
      <c r="G178" s="6" t="s">
        <v>36</v>
      </c>
      <c r="H178" s="6" t="s">
        <v>592</v>
      </c>
      <c r="I178" s="6" t="s">
        <v>285</v>
      </c>
      <c r="J178" s="6"/>
      <c r="K178" s="6"/>
      <c r="L178" s="7">
        <v>45398</v>
      </c>
      <c r="M178" s="7"/>
      <c r="N178" s="6" t="s">
        <v>40</v>
      </c>
      <c r="O178" s="13">
        <v>575</v>
      </c>
      <c r="P178" s="6" t="s">
        <v>80</v>
      </c>
      <c r="Q178" s="19">
        <f t="shared" si="6"/>
        <v>1.6862170087976538E-2</v>
      </c>
      <c r="R178" s="219"/>
      <c r="S178" s="36"/>
      <c r="T178" s="7">
        <v>45449</v>
      </c>
      <c r="U178" s="46" t="s">
        <v>43</v>
      </c>
      <c r="V178" s="7">
        <v>45455</v>
      </c>
      <c r="W178" s="10" t="s">
        <v>45</v>
      </c>
      <c r="X178" s="236">
        <f>130975-52390</f>
        <v>78585</v>
      </c>
      <c r="Y178" s="11" t="s">
        <v>341</v>
      </c>
      <c r="Z178" s="11"/>
      <c r="AA178" s="78"/>
      <c r="AB178" s="7">
        <v>45454</v>
      </c>
      <c r="AC178" s="7">
        <v>45449</v>
      </c>
      <c r="AD178" s="229"/>
      <c r="AE178" s="71">
        <v>45458</v>
      </c>
    </row>
    <row r="179" spans="1:46" s="30" customFormat="1" ht="24.95" hidden="1" customHeight="1" x14ac:dyDescent="0.25">
      <c r="A179" s="109" t="s">
        <v>597</v>
      </c>
      <c r="B179" s="22">
        <v>26018</v>
      </c>
      <c r="C179" s="23">
        <v>39600</v>
      </c>
      <c r="D179" s="22" t="s">
        <v>249</v>
      </c>
      <c r="E179" s="22" t="s">
        <v>748</v>
      </c>
      <c r="F179" s="22"/>
      <c r="G179" s="22"/>
      <c r="H179" s="24" t="s">
        <v>164</v>
      </c>
      <c r="I179" s="24" t="s">
        <v>115</v>
      </c>
      <c r="J179" s="24" t="s">
        <v>62</v>
      </c>
      <c r="K179" s="24"/>
      <c r="L179" s="255">
        <v>45448</v>
      </c>
      <c r="M179" s="25"/>
      <c r="N179" s="22" t="s">
        <v>403</v>
      </c>
      <c r="O179" s="26">
        <v>6950</v>
      </c>
      <c r="P179" s="22" t="s">
        <v>80</v>
      </c>
      <c r="Q179" s="27">
        <f t="shared" si="6"/>
        <v>0.1755050505050505</v>
      </c>
      <c r="R179" s="217"/>
      <c r="S179" s="27"/>
      <c r="T179" s="24"/>
      <c r="U179" s="28" t="s">
        <v>66</v>
      </c>
      <c r="V179" s="25">
        <v>45455</v>
      </c>
      <c r="W179" s="24" t="s">
        <v>45</v>
      </c>
      <c r="X179" s="29">
        <v>63360</v>
      </c>
      <c r="Y179" s="24" t="s">
        <v>215</v>
      </c>
      <c r="Z179" s="24"/>
      <c r="AA179" s="78"/>
      <c r="AB179" s="78"/>
      <c r="AC179" s="7">
        <v>45454</v>
      </c>
      <c r="AD179" s="38"/>
      <c r="AE179" s="71">
        <v>45455</v>
      </c>
      <c r="AF179" s="15"/>
      <c r="AG179" s="15"/>
      <c r="AH179" s="15"/>
      <c r="AI179" s="15"/>
      <c r="AJ179" s="15"/>
      <c r="AK179" s="15"/>
      <c r="AL179" s="15"/>
      <c r="AM179" s="15"/>
      <c r="AN179" s="15"/>
      <c r="AO179" s="15"/>
      <c r="AP179" s="15"/>
      <c r="AQ179" s="15"/>
      <c r="AR179" s="15"/>
      <c r="AS179" s="15"/>
      <c r="AT179" s="15"/>
    </row>
    <row r="180" spans="1:46" s="15" customFormat="1" ht="24.95" hidden="1" customHeight="1" x14ac:dyDescent="0.25">
      <c r="A180" s="16" t="s">
        <v>179</v>
      </c>
      <c r="B180" s="6">
        <v>25852</v>
      </c>
      <c r="C180" s="5">
        <v>35200</v>
      </c>
      <c r="D180" s="6" t="s">
        <v>105</v>
      </c>
      <c r="E180" s="6" t="s">
        <v>723</v>
      </c>
      <c r="F180" s="6" t="s">
        <v>749</v>
      </c>
      <c r="G180" s="6" t="s">
        <v>108</v>
      </c>
      <c r="H180" s="11" t="s">
        <v>37</v>
      </c>
      <c r="I180" s="11" t="s">
        <v>182</v>
      </c>
      <c r="J180" s="11" t="s">
        <v>183</v>
      </c>
      <c r="K180" s="11"/>
      <c r="L180" s="7">
        <v>45415</v>
      </c>
      <c r="M180" s="7" t="s">
        <v>414</v>
      </c>
      <c r="N180" s="6" t="s">
        <v>40</v>
      </c>
      <c r="O180" s="13">
        <f>3600+62.5+400</f>
        <v>4062.5</v>
      </c>
      <c r="P180" s="6" t="s">
        <v>41</v>
      </c>
      <c r="Q180" s="36">
        <f t="shared" si="6"/>
        <v>0.11541193181818182</v>
      </c>
      <c r="R180" s="7">
        <v>45444</v>
      </c>
      <c r="S180" s="41" t="s">
        <v>65</v>
      </c>
      <c r="T180" s="65">
        <v>45454</v>
      </c>
      <c r="U180" s="46" t="s">
        <v>178</v>
      </c>
      <c r="V180" s="7">
        <v>45456</v>
      </c>
      <c r="W180" s="10" t="s">
        <v>725</v>
      </c>
      <c r="X180" s="236">
        <v>67200</v>
      </c>
      <c r="Y180" s="11" t="s">
        <v>68</v>
      </c>
      <c r="Z180" s="11"/>
      <c r="AA180" s="7">
        <v>45455</v>
      </c>
      <c r="AB180" s="7">
        <v>45455</v>
      </c>
      <c r="AC180" s="7">
        <v>45453</v>
      </c>
      <c r="AD180" s="48"/>
      <c r="AE180" s="71">
        <v>45460</v>
      </c>
    </row>
    <row r="181" spans="1:46" s="15" customFormat="1" ht="24.95" hidden="1" customHeight="1" x14ac:dyDescent="0.25">
      <c r="A181" s="16" t="s">
        <v>179</v>
      </c>
      <c r="B181" s="6">
        <v>25853</v>
      </c>
      <c r="C181" s="5">
        <v>35200</v>
      </c>
      <c r="D181" s="6" t="s">
        <v>105</v>
      </c>
      <c r="E181" s="6" t="s">
        <v>750</v>
      </c>
      <c r="F181" s="6" t="s">
        <v>751</v>
      </c>
      <c r="G181" s="6" t="s">
        <v>108</v>
      </c>
      <c r="H181" s="11" t="s">
        <v>37</v>
      </c>
      <c r="I181" s="11" t="s">
        <v>182</v>
      </c>
      <c r="J181" s="11" t="s">
        <v>183</v>
      </c>
      <c r="K181" s="11"/>
      <c r="L181" s="7">
        <v>45415</v>
      </c>
      <c r="M181" s="7" t="s">
        <v>414</v>
      </c>
      <c r="N181" s="6" t="s">
        <v>40</v>
      </c>
      <c r="O181" s="13">
        <f>3600+62.5+400</f>
        <v>4062.5</v>
      </c>
      <c r="P181" s="6" t="s">
        <v>41</v>
      </c>
      <c r="Q181" s="36">
        <f t="shared" si="6"/>
        <v>0.11541193181818182</v>
      </c>
      <c r="R181" s="7">
        <v>45444</v>
      </c>
      <c r="S181" s="41" t="s">
        <v>65</v>
      </c>
      <c r="T181" s="65">
        <v>45454</v>
      </c>
      <c r="U181" s="46" t="s">
        <v>178</v>
      </c>
      <c r="V181" s="7">
        <v>45456</v>
      </c>
      <c r="W181" s="10" t="s">
        <v>725</v>
      </c>
      <c r="X181" s="236">
        <v>70660</v>
      </c>
      <c r="Y181" s="11" t="s">
        <v>68</v>
      </c>
      <c r="Z181" s="11"/>
      <c r="AA181" s="7">
        <v>45455</v>
      </c>
      <c r="AB181" s="7">
        <v>45455</v>
      </c>
      <c r="AC181" s="7">
        <v>45453</v>
      </c>
      <c r="AD181" s="48"/>
      <c r="AE181" s="71">
        <v>45460</v>
      </c>
    </row>
    <row r="182" spans="1:46" s="15" customFormat="1" ht="24.95" hidden="1" customHeight="1" x14ac:dyDescent="0.25">
      <c r="A182" s="16" t="s">
        <v>639</v>
      </c>
      <c r="B182" s="6">
        <v>25789</v>
      </c>
      <c r="C182" s="5">
        <v>35000</v>
      </c>
      <c r="D182" s="6" t="s">
        <v>105</v>
      </c>
      <c r="E182" s="6" t="s">
        <v>752</v>
      </c>
      <c r="F182" s="6" t="s">
        <v>753</v>
      </c>
      <c r="G182" s="6" t="s">
        <v>36</v>
      </c>
      <c r="H182" s="11" t="s">
        <v>37</v>
      </c>
      <c r="I182" s="11" t="s">
        <v>281</v>
      </c>
      <c r="J182" s="11" t="s">
        <v>120</v>
      </c>
      <c r="K182" s="11"/>
      <c r="L182" s="7">
        <v>45392</v>
      </c>
      <c r="M182" s="7" t="s">
        <v>414</v>
      </c>
      <c r="N182" s="6" t="s">
        <v>40</v>
      </c>
      <c r="O182" s="13">
        <f>3720+62.5+400</f>
        <v>4182.5</v>
      </c>
      <c r="P182" s="6" t="s">
        <v>41</v>
      </c>
      <c r="Q182" s="36">
        <f t="shared" si="6"/>
        <v>0.1195</v>
      </c>
      <c r="R182" s="7">
        <v>45442</v>
      </c>
      <c r="S182" s="41" t="s">
        <v>65</v>
      </c>
      <c r="T182" s="65">
        <v>45458</v>
      </c>
      <c r="U182" s="46" t="s">
        <v>76</v>
      </c>
      <c r="V182" s="7">
        <v>45460</v>
      </c>
      <c r="W182" s="10" t="s">
        <v>45</v>
      </c>
      <c r="X182" s="236">
        <f>124250-18638</f>
        <v>105612</v>
      </c>
      <c r="Y182" s="11" t="s">
        <v>68</v>
      </c>
      <c r="Z182" s="11"/>
      <c r="AA182" s="7">
        <v>45455</v>
      </c>
      <c r="AB182" s="7">
        <v>45455</v>
      </c>
      <c r="AC182" s="7">
        <v>45457</v>
      </c>
      <c r="AD182" s="48"/>
      <c r="AE182" s="71">
        <v>45460</v>
      </c>
    </row>
    <row r="183" spans="1:46" s="30" customFormat="1" ht="18" hidden="1" x14ac:dyDescent="0.25">
      <c r="A183" s="109" t="s">
        <v>251</v>
      </c>
      <c r="B183" s="22">
        <v>26388</v>
      </c>
      <c r="C183" s="23">
        <v>40500</v>
      </c>
      <c r="D183" s="22" t="s">
        <v>249</v>
      </c>
      <c r="E183" s="22" t="s">
        <v>754</v>
      </c>
      <c r="F183" s="22"/>
      <c r="G183" s="22"/>
      <c r="H183" s="24" t="s">
        <v>37</v>
      </c>
      <c r="I183" s="24" t="s">
        <v>253</v>
      </c>
      <c r="J183" s="24" t="s">
        <v>62</v>
      </c>
      <c r="K183" s="24"/>
      <c r="L183" s="25">
        <v>45455</v>
      </c>
      <c r="M183" s="25"/>
      <c r="N183" s="22" t="s">
        <v>441</v>
      </c>
      <c r="O183" s="247">
        <v>6950</v>
      </c>
      <c r="P183" s="22" t="s">
        <v>80</v>
      </c>
      <c r="Q183" s="27">
        <f t="shared" si="6"/>
        <v>0.17160493827160495</v>
      </c>
      <c r="R183" s="217"/>
      <c r="S183" s="27"/>
      <c r="T183" s="25"/>
      <c r="U183" s="28" t="s">
        <v>66</v>
      </c>
      <c r="V183" s="25">
        <v>45461</v>
      </c>
      <c r="W183" s="24" t="s">
        <v>45</v>
      </c>
      <c r="X183" s="29">
        <v>94355</v>
      </c>
      <c r="Y183" s="24" t="s">
        <v>215</v>
      </c>
      <c r="Z183" s="24"/>
      <c r="AA183" s="78"/>
      <c r="AB183" s="78"/>
      <c r="AC183" s="7"/>
      <c r="AD183" s="6" t="s">
        <v>755</v>
      </c>
      <c r="AE183" s="71">
        <v>45461</v>
      </c>
      <c r="AF183" s="15"/>
      <c r="AG183" s="15"/>
      <c r="AH183" s="15"/>
      <c r="AI183" s="15"/>
      <c r="AJ183" s="15"/>
      <c r="AK183" s="15"/>
      <c r="AL183" s="15"/>
      <c r="AM183" s="15"/>
      <c r="AN183" s="15"/>
      <c r="AO183" s="15"/>
      <c r="AP183" s="15"/>
      <c r="AQ183" s="15"/>
      <c r="AR183" s="15"/>
      <c r="AS183" s="15"/>
      <c r="AT183" s="15"/>
    </row>
    <row r="184" spans="1:46" s="15" customFormat="1" ht="18" hidden="1" x14ac:dyDescent="0.25">
      <c r="A184" s="16" t="s">
        <v>453</v>
      </c>
      <c r="B184" s="6">
        <v>24425</v>
      </c>
      <c r="C184" s="44">
        <v>55000</v>
      </c>
      <c r="D184" s="6" t="s">
        <v>48</v>
      </c>
      <c r="E184" s="6" t="s">
        <v>495</v>
      </c>
      <c r="F184" s="6" t="s">
        <v>756</v>
      </c>
      <c r="G184" s="6" t="s">
        <v>369</v>
      </c>
      <c r="H184" s="45" t="s">
        <v>109</v>
      </c>
      <c r="I184" s="6" t="s">
        <v>74</v>
      </c>
      <c r="J184" s="45" t="s">
        <v>75</v>
      </c>
      <c r="K184" s="45"/>
      <c r="L184" s="7">
        <v>45416</v>
      </c>
      <c r="M184" s="7"/>
      <c r="N184" s="73" t="s">
        <v>40</v>
      </c>
      <c r="O184" s="13">
        <v>575</v>
      </c>
      <c r="P184" s="6" t="s">
        <v>80</v>
      </c>
      <c r="Q184" s="19">
        <f t="shared" si="6"/>
        <v>1.0454545454545454E-2</v>
      </c>
      <c r="R184" s="7">
        <v>45447</v>
      </c>
      <c r="S184" s="41" t="s">
        <v>65</v>
      </c>
      <c r="T184" s="7">
        <v>45463</v>
      </c>
      <c r="U184" s="46" t="s">
        <v>76</v>
      </c>
      <c r="V184" s="7">
        <v>45463</v>
      </c>
      <c r="W184" s="10" t="s">
        <v>334</v>
      </c>
      <c r="X184" s="308">
        <f>57970-11594</f>
        <v>46376</v>
      </c>
      <c r="Y184" s="11" t="s">
        <v>341</v>
      </c>
      <c r="Z184" s="11"/>
      <c r="AA184" s="78"/>
      <c r="AB184" s="7">
        <v>45462</v>
      </c>
      <c r="AC184" s="7">
        <v>45463</v>
      </c>
      <c r="AD184" s="38"/>
      <c r="AE184" s="71">
        <v>45473</v>
      </c>
    </row>
    <row r="185" spans="1:46" s="30" customFormat="1" ht="18" hidden="1" x14ac:dyDescent="0.25">
      <c r="A185" s="21" t="s">
        <v>757</v>
      </c>
      <c r="B185" s="22">
        <v>26691</v>
      </c>
      <c r="C185" s="23">
        <v>17160</v>
      </c>
      <c r="D185" s="22">
        <v>13</v>
      </c>
      <c r="E185" s="22" t="s">
        <v>758</v>
      </c>
      <c r="F185" s="22"/>
      <c r="G185" s="22"/>
      <c r="H185" s="24"/>
      <c r="I185" s="24"/>
      <c r="J185" s="24"/>
      <c r="K185" s="24"/>
      <c r="L185" s="25">
        <v>45463</v>
      </c>
      <c r="M185" s="25"/>
      <c r="N185" s="22"/>
      <c r="O185" s="26"/>
      <c r="P185" s="22"/>
      <c r="Q185" s="27"/>
      <c r="R185" s="217"/>
      <c r="S185" s="27"/>
      <c r="T185" s="24"/>
      <c r="U185" s="28" t="s">
        <v>66</v>
      </c>
      <c r="V185" s="25">
        <v>45463</v>
      </c>
      <c r="W185" s="24" t="s">
        <v>45</v>
      </c>
      <c r="X185" s="29">
        <v>8580</v>
      </c>
      <c r="Y185" s="24" t="s">
        <v>215</v>
      </c>
      <c r="Z185" s="24"/>
      <c r="AA185" s="78"/>
      <c r="AB185" s="78"/>
      <c r="AC185" s="78"/>
      <c r="AD185" s="6"/>
      <c r="AE185" s="71" t="s">
        <v>378</v>
      </c>
      <c r="AF185" s="15"/>
      <c r="AG185" s="15"/>
      <c r="AH185" s="15"/>
      <c r="AI185" s="15"/>
      <c r="AJ185" s="15"/>
      <c r="AK185" s="15"/>
      <c r="AL185" s="15"/>
      <c r="AM185" s="15"/>
      <c r="AN185" s="15"/>
      <c r="AO185" s="15"/>
      <c r="AP185" s="15"/>
      <c r="AQ185" s="15"/>
      <c r="AR185" s="15"/>
      <c r="AS185" s="15"/>
      <c r="AT185" s="15"/>
    </row>
    <row r="186" spans="1:46" s="30" customFormat="1" ht="18" hidden="1" x14ac:dyDescent="0.25">
      <c r="A186" s="210" t="s">
        <v>759</v>
      </c>
      <c r="B186" s="31">
        <v>25826</v>
      </c>
      <c r="C186" s="32">
        <v>55000</v>
      </c>
      <c r="D186" s="31" t="s">
        <v>48</v>
      </c>
      <c r="E186" s="31" t="s">
        <v>760</v>
      </c>
      <c r="F186" s="100" t="s">
        <v>761</v>
      </c>
      <c r="G186" s="100" t="s">
        <v>36</v>
      </c>
      <c r="H186" s="33" t="s">
        <v>37</v>
      </c>
      <c r="I186" s="33" t="s">
        <v>281</v>
      </c>
      <c r="J186" s="33" t="s">
        <v>120</v>
      </c>
      <c r="K186" s="33"/>
      <c r="L186" s="102">
        <v>45413</v>
      </c>
      <c r="M186" s="34" t="s">
        <v>414</v>
      </c>
      <c r="N186" s="31" t="s">
        <v>40</v>
      </c>
      <c r="O186" s="35">
        <f>4770+60+2.5+400</f>
        <v>5232.5</v>
      </c>
      <c r="P186" s="31" t="s">
        <v>41</v>
      </c>
      <c r="Q186" s="258">
        <f>+O186/C186</f>
        <v>9.513636363636363E-2</v>
      </c>
      <c r="R186" s="102">
        <v>45446</v>
      </c>
      <c r="S186" s="123" t="s">
        <v>65</v>
      </c>
      <c r="T186" s="34">
        <v>45463</v>
      </c>
      <c r="U186" s="42" t="s">
        <v>76</v>
      </c>
      <c r="V186" s="34">
        <v>45463</v>
      </c>
      <c r="W186" s="33" t="s">
        <v>762</v>
      </c>
      <c r="X186" s="62">
        <v>151250</v>
      </c>
      <c r="Y186" s="108" t="s">
        <v>68</v>
      </c>
      <c r="Z186" s="108"/>
      <c r="AA186" s="7">
        <v>45457</v>
      </c>
      <c r="AB186" s="7">
        <v>45457</v>
      </c>
      <c r="AC186" s="7">
        <v>45463</v>
      </c>
      <c r="AD186" s="38" t="s">
        <v>763</v>
      </c>
      <c r="AE186" s="71">
        <v>45468</v>
      </c>
      <c r="AF186" s="15"/>
      <c r="AG186" s="15"/>
      <c r="AH186" s="15"/>
      <c r="AI186" s="15"/>
      <c r="AJ186" s="15"/>
      <c r="AK186" s="15"/>
      <c r="AL186" s="15"/>
      <c r="AM186" s="15"/>
      <c r="AN186" s="15"/>
      <c r="AO186" s="15"/>
      <c r="AP186" s="15"/>
      <c r="AQ186" s="15"/>
      <c r="AR186" s="15"/>
      <c r="AS186" s="15"/>
      <c r="AT186" s="15"/>
    </row>
    <row r="187" spans="1:46" s="3" customFormat="1" ht="18" hidden="1" x14ac:dyDescent="0.25">
      <c r="A187" s="209" t="s">
        <v>241</v>
      </c>
      <c r="B187" s="159">
        <v>26201</v>
      </c>
      <c r="C187" s="249">
        <v>55150</v>
      </c>
      <c r="D187" s="167" t="s">
        <v>48</v>
      </c>
      <c r="E187" s="167" t="s">
        <v>764</v>
      </c>
      <c r="F187" s="6" t="s">
        <v>765</v>
      </c>
      <c r="G187" s="6" t="s">
        <v>687</v>
      </c>
      <c r="H187" s="167" t="s">
        <v>51</v>
      </c>
      <c r="I187" s="162" t="s">
        <v>766</v>
      </c>
      <c r="J187" s="162" t="s">
        <v>75</v>
      </c>
      <c r="K187" s="162"/>
      <c r="L187" s="7">
        <v>45434</v>
      </c>
      <c r="N187" s="6" t="s">
        <v>40</v>
      </c>
      <c r="O187" s="250">
        <v>575</v>
      </c>
      <c r="P187" s="6" t="s">
        <v>80</v>
      </c>
      <c r="Q187" s="41">
        <f>+O187/C187</f>
        <v>1.042611060743427E-2</v>
      </c>
      <c r="R187" s="7">
        <v>45455</v>
      </c>
      <c r="S187" s="156" t="s">
        <v>65</v>
      </c>
      <c r="T187" s="7">
        <v>45463</v>
      </c>
      <c r="U187" s="46" t="s">
        <v>178</v>
      </c>
      <c r="V187" s="7">
        <v>45464</v>
      </c>
      <c r="W187" s="10" t="s">
        <v>45</v>
      </c>
      <c r="X187" s="308">
        <v>49375</v>
      </c>
      <c r="Y187" s="11" t="s">
        <v>341</v>
      </c>
      <c r="Z187" s="11"/>
      <c r="AA187" s="78"/>
      <c r="AB187" s="7">
        <v>45462</v>
      </c>
      <c r="AC187" s="7">
        <v>45463</v>
      </c>
      <c r="AE187" s="71">
        <v>45473</v>
      </c>
      <c r="AF187" s="208"/>
      <c r="AG187" s="208"/>
      <c r="AH187" s="208"/>
      <c r="AI187" s="208"/>
      <c r="AJ187" s="208"/>
      <c r="AK187" s="208"/>
      <c r="AL187" s="208"/>
      <c r="AM187" s="208"/>
      <c r="AN187" s="208"/>
      <c r="AO187" s="208"/>
      <c r="AP187" s="208"/>
    </row>
    <row r="188" spans="1:46" s="30" customFormat="1" ht="18" hidden="1" x14ac:dyDescent="0.25">
      <c r="A188" s="86" t="s">
        <v>251</v>
      </c>
      <c r="B188" s="22">
        <v>26387</v>
      </c>
      <c r="C188" s="23">
        <v>40500</v>
      </c>
      <c r="D188" s="22" t="s">
        <v>249</v>
      </c>
      <c r="E188" s="22" t="s">
        <v>421</v>
      </c>
      <c r="F188" s="22"/>
      <c r="G188" s="22"/>
      <c r="H188" s="24" t="s">
        <v>37</v>
      </c>
      <c r="I188" s="24" t="s">
        <v>253</v>
      </c>
      <c r="J188" s="24" t="s">
        <v>62</v>
      </c>
      <c r="K188" s="24"/>
      <c r="L188" s="25">
        <v>45461</v>
      </c>
      <c r="M188" s="25"/>
      <c r="N188" s="22" t="s">
        <v>588</v>
      </c>
      <c r="O188" s="247">
        <v>7295</v>
      </c>
      <c r="P188" s="22" t="s">
        <v>80</v>
      </c>
      <c r="Q188" s="27">
        <f>+O188/C188</f>
        <v>0.18012345679012345</v>
      </c>
      <c r="R188" s="217"/>
      <c r="S188" s="27"/>
      <c r="T188" s="25"/>
      <c r="U188" s="28" t="s">
        <v>66</v>
      </c>
      <c r="V188" s="25">
        <v>45468</v>
      </c>
      <c r="W188" s="24" t="s">
        <v>45</v>
      </c>
      <c r="X188" s="29">
        <v>90315</v>
      </c>
      <c r="Y188" s="24" t="s">
        <v>215</v>
      </c>
      <c r="Z188" s="24"/>
      <c r="AA188" s="78"/>
      <c r="AB188" s="78"/>
      <c r="AC188" s="7">
        <v>45464</v>
      </c>
      <c r="AD188" s="6" t="s">
        <v>767</v>
      </c>
      <c r="AE188" s="71">
        <v>45473</v>
      </c>
      <c r="AF188" s="15"/>
      <c r="AG188" s="15"/>
      <c r="AH188" s="15"/>
      <c r="AI188" s="15"/>
      <c r="AJ188" s="15"/>
      <c r="AK188" s="15"/>
      <c r="AL188" s="15"/>
      <c r="AM188" s="15"/>
      <c r="AN188" s="15"/>
      <c r="AO188" s="15"/>
      <c r="AP188" s="15"/>
      <c r="AQ188" s="15"/>
      <c r="AR188" s="15"/>
      <c r="AS188" s="15"/>
      <c r="AT188" s="15"/>
    </row>
    <row r="189" spans="1:46" s="3" customFormat="1" ht="18" hidden="1" x14ac:dyDescent="0.25">
      <c r="A189" s="309" t="s">
        <v>768</v>
      </c>
      <c r="B189" s="159">
        <v>26200</v>
      </c>
      <c r="C189" s="249">
        <v>55150</v>
      </c>
      <c r="D189" s="167" t="s">
        <v>48</v>
      </c>
      <c r="E189" s="167" t="s">
        <v>769</v>
      </c>
      <c r="F189" s="6" t="s">
        <v>770</v>
      </c>
      <c r="G189" s="6" t="s">
        <v>602</v>
      </c>
      <c r="H189" s="6" t="s">
        <v>51</v>
      </c>
      <c r="I189" s="6" t="s">
        <v>74</v>
      </c>
      <c r="J189" s="6" t="s">
        <v>75</v>
      </c>
      <c r="K189" s="6"/>
      <c r="L189" s="7">
        <v>45424</v>
      </c>
      <c r="N189" s="6" t="s">
        <v>40</v>
      </c>
      <c r="O189" s="310">
        <v>575</v>
      </c>
      <c r="P189" s="6" t="s">
        <v>80</v>
      </c>
      <c r="Q189" s="41">
        <f>+O189/C189</f>
        <v>1.042611060743427E-2</v>
      </c>
      <c r="R189" s="7">
        <v>45448</v>
      </c>
      <c r="S189" s="156" t="s">
        <v>65</v>
      </c>
      <c r="T189" s="7">
        <v>45464</v>
      </c>
      <c r="U189" s="46" t="s">
        <v>76</v>
      </c>
      <c r="V189" s="7">
        <v>45468</v>
      </c>
      <c r="W189" s="10" t="s">
        <v>334</v>
      </c>
      <c r="X189" s="308">
        <v>55250</v>
      </c>
      <c r="Y189" s="11" t="s">
        <v>341</v>
      </c>
      <c r="Z189" s="11"/>
      <c r="AA189" s="78"/>
      <c r="AB189" s="7">
        <v>45461</v>
      </c>
      <c r="AC189" s="7">
        <v>45464</v>
      </c>
      <c r="AE189" s="71">
        <v>45473</v>
      </c>
      <c r="AF189" s="208"/>
      <c r="AG189" s="208"/>
      <c r="AH189" s="208"/>
      <c r="AI189" s="208"/>
      <c r="AJ189" s="208"/>
      <c r="AK189" s="208"/>
      <c r="AL189" s="208"/>
      <c r="AM189" s="208"/>
      <c r="AN189" s="208"/>
      <c r="AO189" s="208"/>
      <c r="AP189" s="208"/>
    </row>
    <row r="190" spans="1:46" s="2" customFormat="1" ht="18" hidden="1" x14ac:dyDescent="0.25">
      <c r="A190" s="264" t="s">
        <v>771</v>
      </c>
      <c r="B190" s="98">
        <v>26633</v>
      </c>
      <c r="C190" s="99">
        <v>39600</v>
      </c>
      <c r="D190" s="100" t="s">
        <v>249</v>
      </c>
      <c r="E190" s="101" t="s">
        <v>772</v>
      </c>
      <c r="F190" s="100"/>
      <c r="G190" s="100"/>
      <c r="H190" s="100" t="s">
        <v>60</v>
      </c>
      <c r="I190" s="100"/>
      <c r="J190" s="100" t="s">
        <v>62</v>
      </c>
      <c r="K190" s="100"/>
      <c r="L190" s="102"/>
      <c r="M190" s="103"/>
      <c r="N190" s="98"/>
      <c r="O190" s="105"/>
      <c r="P190" s="98"/>
      <c r="Q190" s="258"/>
      <c r="R190" s="102"/>
      <c r="S190" s="123"/>
      <c r="T190" s="34"/>
      <c r="U190" s="100" t="s">
        <v>66</v>
      </c>
      <c r="V190" s="34" t="s">
        <v>773</v>
      </c>
      <c r="W190" s="107" t="s">
        <v>774</v>
      </c>
      <c r="X190" s="50">
        <v>56628</v>
      </c>
      <c r="Y190" s="108" t="s">
        <v>215</v>
      </c>
      <c r="Z190" s="108"/>
      <c r="AA190" s="78"/>
      <c r="AB190" s="71"/>
      <c r="AC190" s="71"/>
      <c r="AD190" s="79"/>
      <c r="AE190" s="71" t="s">
        <v>378</v>
      </c>
    </row>
    <row r="191" spans="1:46" s="15" customFormat="1" ht="18" hidden="1" x14ac:dyDescent="0.25">
      <c r="A191" s="209" t="s">
        <v>447</v>
      </c>
      <c r="B191" s="6">
        <v>25818</v>
      </c>
      <c r="C191" s="5">
        <v>44000</v>
      </c>
      <c r="D191" s="6" t="s">
        <v>105</v>
      </c>
      <c r="E191" s="6" t="s">
        <v>775</v>
      </c>
      <c r="F191" s="6" t="s">
        <v>776</v>
      </c>
      <c r="G191" s="6" t="s">
        <v>36</v>
      </c>
      <c r="H191" s="6" t="s">
        <v>51</v>
      </c>
      <c r="I191" s="6"/>
      <c r="J191" s="6" t="s">
        <v>777</v>
      </c>
      <c r="K191" s="6"/>
      <c r="L191" s="7">
        <v>45423</v>
      </c>
      <c r="M191" s="7"/>
      <c r="N191" s="6" t="s">
        <v>40</v>
      </c>
      <c r="O191" s="13">
        <v>575</v>
      </c>
      <c r="P191" s="6" t="s">
        <v>80</v>
      </c>
      <c r="Q191" s="41">
        <f>+O191/C191</f>
        <v>1.3068181818181817E-2</v>
      </c>
      <c r="R191" s="220"/>
      <c r="S191" s="41"/>
      <c r="T191" s="7">
        <v>45464</v>
      </c>
      <c r="U191" s="67" t="s">
        <v>43</v>
      </c>
      <c r="V191" s="7">
        <v>45470</v>
      </c>
      <c r="W191" s="11" t="s">
        <v>45</v>
      </c>
      <c r="X191" s="308">
        <v>73500</v>
      </c>
      <c r="Y191" s="11" t="s">
        <v>341</v>
      </c>
      <c r="Z191" s="11"/>
      <c r="AA191" s="7">
        <v>45469</v>
      </c>
      <c r="AB191" s="7">
        <v>45469</v>
      </c>
      <c r="AC191" s="7">
        <v>45464</v>
      </c>
      <c r="AD191" s="40"/>
      <c r="AE191" s="71">
        <v>45473</v>
      </c>
    </row>
    <row r="192" spans="1:46" s="30" customFormat="1" ht="18" hidden="1" x14ac:dyDescent="0.25">
      <c r="A192" s="109" t="s">
        <v>392</v>
      </c>
      <c r="B192" s="22">
        <v>26393</v>
      </c>
      <c r="C192" s="23">
        <v>40000</v>
      </c>
      <c r="D192" s="22" t="s">
        <v>249</v>
      </c>
      <c r="E192" s="22" t="s">
        <v>778</v>
      </c>
      <c r="F192" s="22"/>
      <c r="G192" s="22"/>
      <c r="H192" s="24" t="s">
        <v>37</v>
      </c>
      <c r="I192" s="24" t="s">
        <v>394</v>
      </c>
      <c r="J192" s="24" t="s">
        <v>53</v>
      </c>
      <c r="K192" s="24"/>
      <c r="L192" s="255">
        <v>45469</v>
      </c>
      <c r="M192" s="25"/>
      <c r="N192" s="22"/>
      <c r="O192" s="26"/>
      <c r="P192" s="22"/>
      <c r="Q192" s="259"/>
      <c r="R192" s="217"/>
      <c r="S192" s="27"/>
      <c r="T192" s="25">
        <v>45469</v>
      </c>
      <c r="U192" s="28" t="s">
        <v>66</v>
      </c>
      <c r="V192" s="25">
        <v>45470</v>
      </c>
      <c r="W192" s="24" t="s">
        <v>45</v>
      </c>
      <c r="X192" s="29">
        <v>95888</v>
      </c>
      <c r="Y192" s="24" t="s">
        <v>215</v>
      </c>
      <c r="Z192" s="24"/>
      <c r="AA192" s="78"/>
      <c r="AB192" s="78"/>
      <c r="AC192" s="7"/>
      <c r="AD192" s="6"/>
      <c r="AE192" s="71" t="s">
        <v>378</v>
      </c>
      <c r="AF192" s="15"/>
      <c r="AG192" s="15"/>
      <c r="AH192" s="15"/>
      <c r="AI192" s="15"/>
      <c r="AJ192" s="15"/>
      <c r="AK192" s="15"/>
      <c r="AL192" s="15"/>
      <c r="AM192" s="15"/>
      <c r="AN192" s="15"/>
      <c r="AO192" s="15"/>
      <c r="AP192" s="15"/>
      <c r="AQ192" s="15"/>
      <c r="AR192" s="15"/>
      <c r="AS192" s="15"/>
      <c r="AT192" s="15"/>
    </row>
    <row r="193" spans="1:46" s="30" customFormat="1" ht="18" hidden="1" x14ac:dyDescent="0.25">
      <c r="A193" s="86" t="s">
        <v>274</v>
      </c>
      <c r="B193" s="22">
        <v>26422</v>
      </c>
      <c r="C193" s="23">
        <v>40000</v>
      </c>
      <c r="D193" s="22" t="s">
        <v>249</v>
      </c>
      <c r="E193" s="22" t="s">
        <v>728</v>
      </c>
      <c r="F193" s="22"/>
      <c r="G193" s="22"/>
      <c r="H193" s="24" t="s">
        <v>37</v>
      </c>
      <c r="I193" s="24" t="s">
        <v>729</v>
      </c>
      <c r="J193" s="24" t="s">
        <v>62</v>
      </c>
      <c r="K193" s="24"/>
      <c r="L193" s="255">
        <v>45467</v>
      </c>
      <c r="M193" s="25"/>
      <c r="N193" s="22" t="s">
        <v>588</v>
      </c>
      <c r="O193" s="247">
        <v>7295</v>
      </c>
      <c r="P193" s="22" t="s">
        <v>80</v>
      </c>
      <c r="Q193" s="27"/>
      <c r="R193" s="217"/>
      <c r="S193" s="27"/>
      <c r="T193" s="25">
        <v>45470</v>
      </c>
      <c r="U193" s="28" t="s">
        <v>66</v>
      </c>
      <c r="V193" s="25" t="s">
        <v>773</v>
      </c>
      <c r="W193" s="24" t="s">
        <v>358</v>
      </c>
      <c r="X193" s="29">
        <v>94000</v>
      </c>
      <c r="Y193" s="24" t="s">
        <v>215</v>
      </c>
      <c r="Z193" s="24"/>
      <c r="AA193" s="78"/>
      <c r="AB193" s="78"/>
      <c r="AC193" s="7"/>
      <c r="AD193" s="6"/>
      <c r="AE193" s="71">
        <v>45473</v>
      </c>
      <c r="AF193" s="15"/>
      <c r="AG193" s="15"/>
      <c r="AH193" s="15"/>
      <c r="AI193" s="15"/>
      <c r="AJ193" s="15"/>
      <c r="AK193" s="15"/>
      <c r="AL193" s="15"/>
      <c r="AM193" s="15"/>
      <c r="AN193" s="15"/>
      <c r="AO193" s="15"/>
      <c r="AP193" s="15"/>
      <c r="AQ193" s="15"/>
      <c r="AR193" s="15"/>
      <c r="AS193" s="15"/>
      <c r="AT193" s="15"/>
    </row>
    <row r="194" spans="1:46" s="2" customFormat="1" ht="18" hidden="1" x14ac:dyDescent="0.25">
      <c r="A194" s="230" t="s">
        <v>511</v>
      </c>
      <c r="B194" s="98">
        <v>25884</v>
      </c>
      <c r="C194" s="99">
        <v>44000</v>
      </c>
      <c r="D194" s="100" t="s">
        <v>105</v>
      </c>
      <c r="E194" s="101" t="s">
        <v>512</v>
      </c>
      <c r="F194" s="100" t="s">
        <v>779</v>
      </c>
      <c r="G194" s="100" t="s">
        <v>36</v>
      </c>
      <c r="H194" s="108" t="s">
        <v>37</v>
      </c>
      <c r="I194" s="108" t="s">
        <v>97</v>
      </c>
      <c r="J194" s="108" t="s">
        <v>98</v>
      </c>
      <c r="K194" s="108"/>
      <c r="L194" s="102">
        <v>45441</v>
      </c>
      <c r="M194" s="103" t="s">
        <v>414</v>
      </c>
      <c r="N194" s="98" t="s">
        <v>40</v>
      </c>
      <c r="O194" s="105"/>
      <c r="P194" s="98"/>
      <c r="Q194" s="123">
        <f>+O194/C194</f>
        <v>0</v>
      </c>
      <c r="R194" s="102"/>
      <c r="S194" s="123"/>
      <c r="T194" s="34">
        <v>45467</v>
      </c>
      <c r="U194" s="100" t="s">
        <v>43</v>
      </c>
      <c r="V194" s="34" t="s">
        <v>773</v>
      </c>
      <c r="W194" s="107" t="s">
        <v>633</v>
      </c>
      <c r="X194" s="62">
        <v>61488</v>
      </c>
      <c r="Y194" s="108" t="s">
        <v>68</v>
      </c>
      <c r="Z194" s="108"/>
      <c r="AA194" s="7">
        <v>45468</v>
      </c>
      <c r="AB194" s="7">
        <v>45468</v>
      </c>
      <c r="AC194" s="7"/>
      <c r="AD194" s="11"/>
      <c r="AE194" s="71">
        <v>45468</v>
      </c>
      <c r="AF194" s="15"/>
      <c r="AG194" s="15"/>
      <c r="AH194" s="15"/>
      <c r="AI194" s="15"/>
      <c r="AJ194" s="15"/>
      <c r="AK194" s="15"/>
      <c r="AL194" s="15"/>
    </row>
    <row r="195" spans="1:46" s="2" customFormat="1" ht="18" hidden="1" x14ac:dyDescent="0.25">
      <c r="A195" s="16" t="s">
        <v>424</v>
      </c>
      <c r="B195" s="4">
        <v>25744</v>
      </c>
      <c r="C195" s="5">
        <v>40260</v>
      </c>
      <c r="D195" s="4" t="s">
        <v>105</v>
      </c>
      <c r="E195" s="12" t="s">
        <v>425</v>
      </c>
      <c r="F195" s="6" t="s">
        <v>780</v>
      </c>
      <c r="G195" s="6" t="s">
        <v>36</v>
      </c>
      <c r="H195" s="4" t="s">
        <v>51</v>
      </c>
      <c r="I195" s="4"/>
      <c r="J195" s="4" t="s">
        <v>171</v>
      </c>
      <c r="K195" s="4"/>
      <c r="L195" s="7">
        <v>45431</v>
      </c>
      <c r="M195" s="8"/>
      <c r="N195" s="4" t="s">
        <v>40</v>
      </c>
      <c r="O195" s="14">
        <v>575</v>
      </c>
      <c r="P195" s="4" t="s">
        <v>80</v>
      </c>
      <c r="Q195" s="41">
        <f>+O195/C195</f>
        <v>1.4282165921510184E-2</v>
      </c>
      <c r="R195" s="4"/>
      <c r="S195" s="4"/>
      <c r="T195" s="7">
        <v>45469</v>
      </c>
      <c r="U195" s="6" t="s">
        <v>43</v>
      </c>
      <c r="V195" s="7">
        <v>45475</v>
      </c>
      <c r="W195" s="10" t="s">
        <v>45</v>
      </c>
      <c r="X195" s="114">
        <v>18117</v>
      </c>
      <c r="Y195" s="8" t="s">
        <v>341</v>
      </c>
      <c r="Z195" s="8"/>
      <c r="AA195" s="78"/>
      <c r="AB195" s="7">
        <v>45463</v>
      </c>
      <c r="AC195" s="7">
        <v>45468</v>
      </c>
      <c r="AD195" s="37"/>
      <c r="AE195" s="71">
        <v>45486</v>
      </c>
      <c r="AF195" s="15"/>
      <c r="AG195" s="15"/>
      <c r="AH195" s="15"/>
      <c r="AI195" s="15"/>
      <c r="AJ195" s="15"/>
      <c r="AK195" s="15"/>
      <c r="AL195" s="15"/>
      <c r="AM195" s="15"/>
      <c r="AN195" s="15"/>
    </row>
    <row r="196" spans="1:46" s="30" customFormat="1" ht="18" hidden="1" x14ac:dyDescent="0.25">
      <c r="A196" s="86" t="s">
        <v>781</v>
      </c>
      <c r="B196" s="22">
        <v>26622</v>
      </c>
      <c r="C196" s="23">
        <v>40000</v>
      </c>
      <c r="D196" s="22" t="s">
        <v>249</v>
      </c>
      <c r="E196" s="22" t="s">
        <v>782</v>
      </c>
      <c r="F196" s="22"/>
      <c r="G196" s="22"/>
      <c r="H196" s="24" t="s">
        <v>164</v>
      </c>
      <c r="I196" s="24" t="s">
        <v>783</v>
      </c>
      <c r="J196" s="24" t="s">
        <v>62</v>
      </c>
      <c r="K196" s="24"/>
      <c r="L196" s="255">
        <v>45467</v>
      </c>
      <c r="M196" s="25"/>
      <c r="N196" s="22" t="s">
        <v>588</v>
      </c>
      <c r="O196" s="247">
        <v>7295</v>
      </c>
      <c r="P196" s="22" t="s">
        <v>80</v>
      </c>
      <c r="Q196" s="27"/>
      <c r="R196" s="217"/>
      <c r="S196" s="27"/>
      <c r="T196" s="25"/>
      <c r="U196" s="28" t="s">
        <v>66</v>
      </c>
      <c r="V196" s="25">
        <v>45475</v>
      </c>
      <c r="W196" s="24" t="s">
        <v>45</v>
      </c>
      <c r="X196" s="29">
        <v>94000</v>
      </c>
      <c r="Y196" s="24" t="s">
        <v>215</v>
      </c>
      <c r="Z196" s="24"/>
      <c r="AA196" s="78"/>
      <c r="AB196" s="78"/>
      <c r="AC196" s="7"/>
      <c r="AD196" s="6"/>
      <c r="AE196" s="71">
        <v>45504</v>
      </c>
      <c r="AF196" s="15"/>
      <c r="AG196" s="15"/>
      <c r="AH196" s="15"/>
      <c r="AI196" s="15"/>
      <c r="AJ196" s="15"/>
      <c r="AK196" s="15"/>
      <c r="AL196" s="15"/>
      <c r="AM196" s="15"/>
      <c r="AN196" s="15"/>
      <c r="AO196" s="15"/>
      <c r="AP196" s="15"/>
      <c r="AQ196" s="15"/>
      <c r="AR196" s="15"/>
      <c r="AS196" s="15"/>
      <c r="AT196" s="15"/>
    </row>
    <row r="197" spans="1:46" s="2" customFormat="1" ht="18" hidden="1" x14ac:dyDescent="0.25">
      <c r="A197" s="230" t="s">
        <v>175</v>
      </c>
      <c r="B197" s="98">
        <v>24494</v>
      </c>
      <c r="C197" s="99">
        <v>44000</v>
      </c>
      <c r="D197" s="100" t="s">
        <v>105</v>
      </c>
      <c r="E197" s="101" t="s">
        <v>360</v>
      </c>
      <c r="F197" s="100" t="s">
        <v>784</v>
      </c>
      <c r="G197" s="100" t="s">
        <v>687</v>
      </c>
      <c r="H197" s="100" t="s">
        <v>51</v>
      </c>
      <c r="I197" s="100"/>
      <c r="J197" s="100" t="s">
        <v>75</v>
      </c>
      <c r="K197" s="100"/>
      <c r="L197" s="102">
        <v>45434</v>
      </c>
      <c r="M197" s="103"/>
      <c r="N197" s="98" t="s">
        <v>40</v>
      </c>
      <c r="O197" s="105">
        <v>575</v>
      </c>
      <c r="P197" s="98" t="s">
        <v>80</v>
      </c>
      <c r="Q197" s="258">
        <f>+O197/C197</f>
        <v>1.3068181818181817E-2</v>
      </c>
      <c r="R197" s="102">
        <v>45462</v>
      </c>
      <c r="S197" s="123" t="s">
        <v>65</v>
      </c>
      <c r="T197" s="34">
        <v>45472</v>
      </c>
      <c r="U197" s="100" t="s">
        <v>178</v>
      </c>
      <c r="V197" s="34">
        <v>45475</v>
      </c>
      <c r="W197" s="107" t="s">
        <v>785</v>
      </c>
      <c r="X197" s="62">
        <v>31000</v>
      </c>
      <c r="Y197" s="108" t="s">
        <v>341</v>
      </c>
      <c r="Z197" s="108"/>
      <c r="AA197" s="78"/>
      <c r="AB197" s="71">
        <v>45471</v>
      </c>
      <c r="AC197" s="71"/>
      <c r="AD197" s="79"/>
      <c r="AE197" s="71">
        <v>45486</v>
      </c>
    </row>
    <row r="198" spans="1:46" s="30" customFormat="1" ht="18" hidden="1" x14ac:dyDescent="0.25">
      <c r="A198" s="210" t="s">
        <v>392</v>
      </c>
      <c r="B198" s="31">
        <v>26529</v>
      </c>
      <c r="C198" s="32">
        <v>40000</v>
      </c>
      <c r="D198" s="31" t="s">
        <v>249</v>
      </c>
      <c r="E198" s="31" t="s">
        <v>778</v>
      </c>
      <c r="F198" s="31"/>
      <c r="G198" s="31"/>
      <c r="H198" s="33" t="s">
        <v>37</v>
      </c>
      <c r="I198" s="33" t="s">
        <v>394</v>
      </c>
      <c r="J198" s="33" t="s">
        <v>53</v>
      </c>
      <c r="K198" s="33"/>
      <c r="L198" s="255">
        <v>45475</v>
      </c>
      <c r="M198" s="34"/>
      <c r="N198" s="31"/>
      <c r="O198" s="35"/>
      <c r="P198" s="31"/>
      <c r="Q198" s="258"/>
      <c r="R198" s="238"/>
      <c r="S198" s="49"/>
      <c r="T198" s="34">
        <v>45475</v>
      </c>
      <c r="U198" s="42" t="s">
        <v>66</v>
      </c>
      <c r="V198" s="34" t="s">
        <v>786</v>
      </c>
      <c r="W198" s="33" t="s">
        <v>787</v>
      </c>
      <c r="X198" s="50">
        <v>95888</v>
      </c>
      <c r="Y198" s="33" t="s">
        <v>215</v>
      </c>
      <c r="Z198" s="33"/>
      <c r="AA198" s="78"/>
      <c r="AB198" s="78"/>
      <c r="AC198" s="78"/>
      <c r="AD198" s="38"/>
      <c r="AE198" s="71" t="s">
        <v>378</v>
      </c>
      <c r="AF198" s="15"/>
      <c r="AG198" s="15"/>
      <c r="AH198" s="15"/>
      <c r="AI198" s="15"/>
      <c r="AJ198" s="15"/>
      <c r="AK198" s="15"/>
      <c r="AL198" s="15"/>
      <c r="AM198" s="15"/>
      <c r="AN198" s="15"/>
      <c r="AO198" s="15"/>
      <c r="AP198" s="15"/>
      <c r="AQ198" s="15"/>
      <c r="AR198" s="15"/>
      <c r="AS198" s="15"/>
      <c r="AT198" s="15"/>
    </row>
    <row r="199" spans="1:46" s="15" customFormat="1" ht="18" hidden="1" x14ac:dyDescent="0.25">
      <c r="A199" s="209" t="s">
        <v>175</v>
      </c>
      <c r="B199" s="6">
        <v>24647</v>
      </c>
      <c r="C199" s="5">
        <v>44000</v>
      </c>
      <c r="D199" s="6" t="s">
        <v>105</v>
      </c>
      <c r="E199" s="6" t="s">
        <v>360</v>
      </c>
      <c r="F199" s="6" t="s">
        <v>788</v>
      </c>
      <c r="G199" s="6" t="s">
        <v>345</v>
      </c>
      <c r="H199" s="6" t="s">
        <v>51</v>
      </c>
      <c r="I199" s="6"/>
      <c r="J199" s="6" t="s">
        <v>75</v>
      </c>
      <c r="K199" s="6"/>
      <c r="L199" s="7">
        <v>45428</v>
      </c>
      <c r="M199" s="7"/>
      <c r="N199" s="6" t="s">
        <v>40</v>
      </c>
      <c r="O199" s="250">
        <v>575</v>
      </c>
      <c r="P199" s="6" t="s">
        <v>80</v>
      </c>
      <c r="Q199" s="41"/>
      <c r="R199" s="7">
        <v>45461</v>
      </c>
      <c r="S199" s="41" t="s">
        <v>65</v>
      </c>
      <c r="T199" s="7">
        <v>45475</v>
      </c>
      <c r="U199" s="17" t="s">
        <v>76</v>
      </c>
      <c r="V199" s="7">
        <v>45477</v>
      </c>
      <c r="W199" s="11" t="s">
        <v>45</v>
      </c>
      <c r="X199" s="308">
        <v>33000</v>
      </c>
      <c r="Y199" s="11" t="s">
        <v>341</v>
      </c>
      <c r="Z199" s="11"/>
      <c r="AA199" s="78"/>
      <c r="AB199" s="71">
        <v>45471</v>
      </c>
      <c r="AC199" s="7">
        <v>45475</v>
      </c>
      <c r="AD199" s="40"/>
      <c r="AE199" s="71">
        <v>45486</v>
      </c>
    </row>
    <row r="200" spans="1:46" s="30" customFormat="1" ht="18" hidden="1" x14ac:dyDescent="0.25">
      <c r="A200" s="109" t="s">
        <v>392</v>
      </c>
      <c r="B200" s="22">
        <v>26774</v>
      </c>
      <c r="C200" s="23">
        <v>40000</v>
      </c>
      <c r="D200" s="22" t="s">
        <v>249</v>
      </c>
      <c r="E200" s="22" t="s">
        <v>789</v>
      </c>
      <c r="F200" s="22"/>
      <c r="G200" s="22"/>
      <c r="H200" s="24" t="s">
        <v>37</v>
      </c>
      <c r="I200" s="24" t="s">
        <v>394</v>
      </c>
      <c r="J200" s="24" t="s">
        <v>53</v>
      </c>
      <c r="K200" s="24"/>
      <c r="L200" s="255">
        <v>45478</v>
      </c>
      <c r="M200" s="25"/>
      <c r="N200" s="22" t="s">
        <v>45</v>
      </c>
      <c r="O200" s="26"/>
      <c r="P200" s="22"/>
      <c r="Q200" s="27">
        <f>+O200/C200</f>
        <v>0</v>
      </c>
      <c r="R200" s="217"/>
      <c r="S200" s="27"/>
      <c r="T200" s="25">
        <v>45478</v>
      </c>
      <c r="U200" s="28" t="s">
        <v>66</v>
      </c>
      <c r="V200" s="25">
        <v>45478</v>
      </c>
      <c r="W200" s="24" t="s">
        <v>45</v>
      </c>
      <c r="X200" s="29">
        <v>95888</v>
      </c>
      <c r="Y200" s="24" t="s">
        <v>215</v>
      </c>
      <c r="Z200" s="24"/>
      <c r="AA200" s="78"/>
      <c r="AB200" s="78"/>
      <c r="AC200" s="78"/>
      <c r="AD200" s="6"/>
      <c r="AE200" s="71" t="s">
        <v>378</v>
      </c>
      <c r="AF200" s="15"/>
      <c r="AG200" s="15"/>
      <c r="AH200" s="15"/>
      <c r="AI200" s="15"/>
      <c r="AJ200" s="15"/>
      <c r="AK200" s="15"/>
      <c r="AL200" s="15"/>
      <c r="AM200" s="15"/>
      <c r="AN200" s="15"/>
      <c r="AO200" s="15"/>
      <c r="AP200" s="15"/>
      <c r="AQ200" s="15"/>
      <c r="AR200" s="15"/>
      <c r="AS200" s="15"/>
      <c r="AT200" s="15"/>
    </row>
    <row r="201" spans="1:46" s="30" customFormat="1" ht="18" hidden="1" x14ac:dyDescent="0.25">
      <c r="A201" s="109" t="s">
        <v>597</v>
      </c>
      <c r="B201" s="22">
        <v>26135</v>
      </c>
      <c r="C201" s="23">
        <v>38880</v>
      </c>
      <c r="D201" s="22" t="s">
        <v>249</v>
      </c>
      <c r="E201" s="22" t="s">
        <v>790</v>
      </c>
      <c r="F201" s="22"/>
      <c r="G201" s="22"/>
      <c r="H201" s="24" t="s">
        <v>164</v>
      </c>
      <c r="I201" s="24" t="s">
        <v>115</v>
      </c>
      <c r="J201" s="24" t="s">
        <v>62</v>
      </c>
      <c r="K201" s="24"/>
      <c r="L201" s="25">
        <v>45471</v>
      </c>
      <c r="M201" s="25"/>
      <c r="N201" s="22" t="s">
        <v>791</v>
      </c>
      <c r="O201" s="247">
        <v>6500</v>
      </c>
      <c r="P201" s="22" t="s">
        <v>80</v>
      </c>
      <c r="Q201" s="27">
        <f>+O201/C201</f>
        <v>0.16718106995884774</v>
      </c>
      <c r="R201" s="217"/>
      <c r="S201" s="27"/>
      <c r="T201" s="25"/>
      <c r="U201" s="28" t="s">
        <v>66</v>
      </c>
      <c r="V201" s="25">
        <v>45478</v>
      </c>
      <c r="W201" s="24" t="s">
        <v>45</v>
      </c>
      <c r="X201" s="29">
        <v>56376</v>
      </c>
      <c r="Y201" s="24" t="s">
        <v>215</v>
      </c>
      <c r="Z201" s="24"/>
      <c r="AA201" s="78"/>
      <c r="AB201" s="78"/>
      <c r="AC201" s="7">
        <v>38172</v>
      </c>
      <c r="AD201" s="6"/>
      <c r="AE201" s="71">
        <v>45483</v>
      </c>
      <c r="AF201" s="15"/>
      <c r="AG201" s="15"/>
      <c r="AH201" s="15"/>
      <c r="AI201" s="15"/>
      <c r="AJ201" s="15"/>
      <c r="AK201" s="15"/>
      <c r="AL201" s="15"/>
      <c r="AM201" s="15"/>
      <c r="AN201" s="15"/>
      <c r="AO201" s="15"/>
      <c r="AP201" s="15"/>
      <c r="AQ201" s="15"/>
      <c r="AR201" s="15"/>
      <c r="AS201" s="15"/>
      <c r="AT201" s="15"/>
    </row>
    <row r="202" spans="1:46" s="30" customFormat="1" ht="18" hidden="1" x14ac:dyDescent="0.25">
      <c r="A202" s="86" t="s">
        <v>515</v>
      </c>
      <c r="B202" s="22">
        <v>25530</v>
      </c>
      <c r="C202" s="23">
        <v>40500</v>
      </c>
      <c r="D202" s="22" t="s">
        <v>249</v>
      </c>
      <c r="E202" s="22" t="s">
        <v>792</v>
      </c>
      <c r="F202" s="22"/>
      <c r="G202" s="22"/>
      <c r="H202" s="24" t="s">
        <v>37</v>
      </c>
      <c r="I202" s="24" t="s">
        <v>517</v>
      </c>
      <c r="J202" s="24" t="s">
        <v>62</v>
      </c>
      <c r="K202" s="24"/>
      <c r="L202" s="25">
        <v>45471</v>
      </c>
      <c r="M202" s="25"/>
      <c r="N202" s="22" t="s">
        <v>39</v>
      </c>
      <c r="O202" s="247">
        <v>5500</v>
      </c>
      <c r="P202" s="22" t="s">
        <v>80</v>
      </c>
      <c r="Q202" s="27">
        <f>+O202/C202</f>
        <v>0.13580246913580246</v>
      </c>
      <c r="R202" s="217"/>
      <c r="S202" s="27"/>
      <c r="T202" s="25"/>
      <c r="U202" s="28" t="s">
        <v>66</v>
      </c>
      <c r="V202" s="25">
        <v>45478</v>
      </c>
      <c r="W202" s="24" t="s">
        <v>45</v>
      </c>
      <c r="X202" s="29">
        <v>181125</v>
      </c>
      <c r="Y202" s="24" t="s">
        <v>215</v>
      </c>
      <c r="Z202" s="24"/>
      <c r="AA202" s="78"/>
      <c r="AB202" s="78"/>
      <c r="AC202" s="7">
        <v>45476</v>
      </c>
      <c r="AD202" s="6"/>
      <c r="AE202" s="71">
        <v>45504</v>
      </c>
      <c r="AF202" s="15"/>
      <c r="AG202" s="15"/>
      <c r="AH202" s="15"/>
      <c r="AI202" s="15"/>
      <c r="AJ202" s="15"/>
      <c r="AK202" s="15"/>
      <c r="AL202" s="15"/>
      <c r="AM202" s="15"/>
      <c r="AN202" s="15"/>
      <c r="AO202" s="15"/>
      <c r="AP202" s="15"/>
      <c r="AQ202" s="15"/>
      <c r="AR202" s="15"/>
      <c r="AS202" s="15"/>
      <c r="AT202" s="15"/>
    </row>
    <row r="203" spans="1:46" s="15" customFormat="1" ht="18" hidden="1" x14ac:dyDescent="0.25">
      <c r="A203" s="16" t="s">
        <v>47</v>
      </c>
      <c r="B203" s="6">
        <v>25786</v>
      </c>
      <c r="C203" s="5">
        <v>55000</v>
      </c>
      <c r="D203" s="6" t="s">
        <v>48</v>
      </c>
      <c r="E203" s="6" t="s">
        <v>49</v>
      </c>
      <c r="F203" s="6" t="s">
        <v>793</v>
      </c>
      <c r="G203" s="6" t="s">
        <v>794</v>
      </c>
      <c r="H203" s="6" t="s">
        <v>51</v>
      </c>
      <c r="I203" s="6"/>
      <c r="J203" s="6" t="s">
        <v>479</v>
      </c>
      <c r="K203" s="6"/>
      <c r="L203" s="7">
        <v>45439</v>
      </c>
      <c r="M203" s="7"/>
      <c r="N203" s="73" t="s">
        <v>40</v>
      </c>
      <c r="O203" s="13">
        <v>575</v>
      </c>
      <c r="P203" s="6" t="s">
        <v>80</v>
      </c>
      <c r="Q203" s="19">
        <f>+O203/C203</f>
        <v>1.0454545454545454E-2</v>
      </c>
      <c r="R203" s="219"/>
      <c r="S203" s="36"/>
      <c r="T203" s="7">
        <v>45474</v>
      </c>
      <c r="U203" s="17" t="s">
        <v>43</v>
      </c>
      <c r="V203" s="7">
        <v>45481</v>
      </c>
      <c r="W203" s="10" t="s">
        <v>358</v>
      </c>
      <c r="X203" s="308">
        <v>23462</v>
      </c>
      <c r="Y203" s="11" t="s">
        <v>341</v>
      </c>
      <c r="Z203" s="11"/>
      <c r="AA203" s="78"/>
      <c r="AB203" s="71">
        <v>45475</v>
      </c>
      <c r="AC203" s="7">
        <v>45478</v>
      </c>
      <c r="AD203" s="38"/>
      <c r="AE203" s="71">
        <v>45486</v>
      </c>
    </row>
    <row r="204" spans="1:46" s="15" customFormat="1" ht="18" hidden="1" x14ac:dyDescent="0.25">
      <c r="A204" s="16" t="s">
        <v>415</v>
      </c>
      <c r="B204" s="6">
        <v>25722</v>
      </c>
      <c r="C204" s="5">
        <v>11000</v>
      </c>
      <c r="D204" s="6">
        <v>5</v>
      </c>
      <c r="E204" s="6" t="s">
        <v>416</v>
      </c>
      <c r="F204" s="6" t="s">
        <v>795</v>
      </c>
      <c r="G204" s="6" t="s">
        <v>418</v>
      </c>
      <c r="H204" s="6" t="s">
        <v>51</v>
      </c>
      <c r="I204" s="6" t="s">
        <v>419</v>
      </c>
      <c r="J204" s="6" t="s">
        <v>420</v>
      </c>
      <c r="K204" s="6"/>
      <c r="L204" s="7">
        <v>45442</v>
      </c>
      <c r="M204" s="7"/>
      <c r="N204" s="73" t="s">
        <v>45</v>
      </c>
      <c r="O204" s="13"/>
      <c r="P204" s="6"/>
      <c r="Q204" s="19">
        <v>0</v>
      </c>
      <c r="R204" s="219"/>
      <c r="S204" s="36"/>
      <c r="T204" s="7">
        <v>45476</v>
      </c>
      <c r="U204" s="17" t="s">
        <v>43</v>
      </c>
      <c r="V204" s="7">
        <v>45481</v>
      </c>
      <c r="W204" s="10" t="s">
        <v>45</v>
      </c>
      <c r="X204" s="308">
        <v>24377</v>
      </c>
      <c r="Y204" s="11" t="s">
        <v>341</v>
      </c>
      <c r="Z204" s="11"/>
      <c r="AA204" s="78">
        <v>45475</v>
      </c>
      <c r="AB204" s="7">
        <v>45478</v>
      </c>
      <c r="AC204" s="7">
        <v>45477</v>
      </c>
      <c r="AD204" s="38"/>
      <c r="AE204" s="71" t="s">
        <v>378</v>
      </c>
    </row>
    <row r="205" spans="1:46" s="2" customFormat="1" ht="18" hidden="1" x14ac:dyDescent="0.25">
      <c r="A205" s="226" t="s">
        <v>796</v>
      </c>
      <c r="B205" s="4">
        <v>25558</v>
      </c>
      <c r="C205" s="5">
        <v>44000</v>
      </c>
      <c r="D205" s="4" t="s">
        <v>797</v>
      </c>
      <c r="E205" s="12" t="s">
        <v>798</v>
      </c>
      <c r="F205" s="6" t="s">
        <v>799</v>
      </c>
      <c r="G205" s="6" t="s">
        <v>36</v>
      </c>
      <c r="H205" s="8" t="s">
        <v>37</v>
      </c>
      <c r="I205" s="8" t="s">
        <v>657</v>
      </c>
      <c r="J205" s="8" t="s">
        <v>493</v>
      </c>
      <c r="K205" s="8"/>
      <c r="L205" s="7">
        <v>45420</v>
      </c>
      <c r="M205" s="8" t="s">
        <v>99</v>
      </c>
      <c r="N205" s="6" t="s">
        <v>40</v>
      </c>
      <c r="O205" s="14">
        <f>6170+400</f>
        <v>6570</v>
      </c>
      <c r="P205" s="4" t="s">
        <v>41</v>
      </c>
      <c r="Q205" s="36">
        <f>+O205/C205</f>
        <v>0.14931818181818182</v>
      </c>
      <c r="R205" s="218"/>
      <c r="S205" s="41"/>
      <c r="T205" s="7">
        <v>45476</v>
      </c>
      <c r="U205" s="67" t="s">
        <v>43</v>
      </c>
      <c r="V205" s="7">
        <v>45481</v>
      </c>
      <c r="W205" s="10" t="s">
        <v>45</v>
      </c>
      <c r="X205" s="114">
        <v>64000</v>
      </c>
      <c r="Y205" s="8" t="s">
        <v>329</v>
      </c>
      <c r="Z205" s="8"/>
      <c r="AA205" s="78"/>
      <c r="AB205" s="7">
        <v>45477</v>
      </c>
      <c r="AC205" s="7">
        <v>45476</v>
      </c>
      <c r="AD205" s="37"/>
      <c r="AE205" s="71">
        <v>45473</v>
      </c>
      <c r="AF205" s="15"/>
      <c r="AG205" s="15"/>
      <c r="AH205" s="15"/>
      <c r="AI205" s="15"/>
      <c r="AJ205" s="15"/>
      <c r="AK205" s="15"/>
      <c r="AL205" s="15"/>
      <c r="AM205" s="15"/>
      <c r="AN205" s="15"/>
    </row>
    <row r="206" spans="1:46" s="30" customFormat="1" ht="18" hidden="1" x14ac:dyDescent="0.25">
      <c r="A206" s="109" t="s">
        <v>259</v>
      </c>
      <c r="B206" s="22">
        <v>24554</v>
      </c>
      <c r="C206" s="23">
        <v>24750</v>
      </c>
      <c r="D206" s="22">
        <v>11</v>
      </c>
      <c r="E206" s="22" t="s">
        <v>260</v>
      </c>
      <c r="F206" s="22"/>
      <c r="G206" s="22"/>
      <c r="H206" s="24" t="s">
        <v>37</v>
      </c>
      <c r="I206" s="24" t="s">
        <v>261</v>
      </c>
      <c r="J206" s="24" t="s">
        <v>53</v>
      </c>
      <c r="K206" s="24"/>
      <c r="L206" s="255">
        <v>45481</v>
      </c>
      <c r="M206" s="25"/>
      <c r="N206" s="22"/>
      <c r="O206" s="247"/>
      <c r="P206" s="22"/>
      <c r="Q206" s="27"/>
      <c r="R206" s="217"/>
      <c r="S206" s="27"/>
      <c r="T206" s="25"/>
      <c r="U206" s="28" t="s">
        <v>66</v>
      </c>
      <c r="V206" s="25">
        <v>45481</v>
      </c>
      <c r="W206" s="24" t="s">
        <v>45</v>
      </c>
      <c r="X206" s="29">
        <v>33908</v>
      </c>
      <c r="Y206" s="24" t="s">
        <v>215</v>
      </c>
      <c r="Z206" s="24"/>
      <c r="AA206" s="78"/>
      <c r="AB206" s="78"/>
      <c r="AC206" s="78"/>
      <c r="AD206" s="6"/>
      <c r="AE206" s="71" t="s">
        <v>378</v>
      </c>
      <c r="AF206" s="15"/>
      <c r="AG206" s="15"/>
      <c r="AH206" s="15"/>
      <c r="AI206" s="15"/>
      <c r="AJ206" s="15"/>
      <c r="AK206" s="15"/>
      <c r="AL206" s="15"/>
      <c r="AM206" s="15"/>
      <c r="AN206" s="15"/>
      <c r="AO206" s="15"/>
      <c r="AP206" s="15"/>
      <c r="AQ206" s="15"/>
      <c r="AR206" s="15"/>
      <c r="AS206" s="15"/>
      <c r="AT206" s="15"/>
    </row>
    <row r="207" spans="1:46" s="30" customFormat="1" ht="18" hidden="1" x14ac:dyDescent="0.25">
      <c r="A207" s="109" t="s">
        <v>800</v>
      </c>
      <c r="B207" s="22">
        <v>26692</v>
      </c>
      <c r="C207" s="23">
        <f>938*25</f>
        <v>23450</v>
      </c>
      <c r="D207" s="22" t="s">
        <v>249</v>
      </c>
      <c r="E207" s="22" t="s">
        <v>801</v>
      </c>
      <c r="F207" s="22"/>
      <c r="G207" s="22"/>
      <c r="H207" s="24" t="s">
        <v>37</v>
      </c>
      <c r="I207" s="24" t="s">
        <v>802</v>
      </c>
      <c r="J207" s="24" t="s">
        <v>62</v>
      </c>
      <c r="K207" s="24"/>
      <c r="L207" s="25">
        <v>45478</v>
      </c>
      <c r="M207" s="25"/>
      <c r="N207" s="22"/>
      <c r="O207" s="247"/>
      <c r="P207" s="22"/>
      <c r="Q207" s="27"/>
      <c r="R207" s="217"/>
      <c r="S207" s="27"/>
      <c r="T207" s="25"/>
      <c r="U207" s="28" t="s">
        <v>66</v>
      </c>
      <c r="V207" s="25">
        <v>45481</v>
      </c>
      <c r="W207" s="24" t="s">
        <v>45</v>
      </c>
      <c r="X207" s="29">
        <v>15243</v>
      </c>
      <c r="Y207" s="24" t="s">
        <v>215</v>
      </c>
      <c r="Z207" s="24"/>
      <c r="AA207" s="78"/>
      <c r="AB207" s="78"/>
      <c r="AC207" s="7">
        <v>45479</v>
      </c>
      <c r="AD207" s="6"/>
      <c r="AE207" s="71">
        <v>45504</v>
      </c>
      <c r="AF207" s="15"/>
      <c r="AG207" s="15"/>
      <c r="AH207" s="15"/>
      <c r="AI207" s="15"/>
      <c r="AJ207" s="15"/>
      <c r="AK207" s="15"/>
      <c r="AL207" s="15"/>
      <c r="AM207" s="15"/>
      <c r="AN207" s="15"/>
      <c r="AO207" s="15"/>
      <c r="AP207" s="15"/>
      <c r="AQ207" s="15"/>
      <c r="AR207" s="15"/>
      <c r="AS207" s="15"/>
      <c r="AT207" s="15"/>
    </row>
    <row r="208" spans="1:46" s="30" customFormat="1" ht="18" hidden="1" x14ac:dyDescent="0.25">
      <c r="A208" s="86" t="s">
        <v>529</v>
      </c>
      <c r="B208" s="22">
        <v>26794</v>
      </c>
      <c r="C208" s="23">
        <v>40000</v>
      </c>
      <c r="D208" s="22" t="s">
        <v>249</v>
      </c>
      <c r="E208" s="22" t="s">
        <v>803</v>
      </c>
      <c r="F208" s="22"/>
      <c r="G208" s="22"/>
      <c r="H208" s="22" t="s">
        <v>60</v>
      </c>
      <c r="I208" s="24"/>
      <c r="J208" s="22" t="s">
        <v>53</v>
      </c>
      <c r="K208" s="22"/>
      <c r="L208" s="25">
        <v>45477</v>
      </c>
      <c r="M208" s="25"/>
      <c r="N208" s="22"/>
      <c r="O208" s="247"/>
      <c r="P208" s="22"/>
      <c r="Q208" s="27"/>
      <c r="R208" s="217"/>
      <c r="S208" s="27"/>
      <c r="T208" s="25">
        <v>45482</v>
      </c>
      <c r="U208" s="28" t="s">
        <v>66</v>
      </c>
      <c r="V208" s="25">
        <v>45483</v>
      </c>
      <c r="W208" s="24" t="s">
        <v>45</v>
      </c>
      <c r="X208" s="29">
        <v>43147</v>
      </c>
      <c r="Y208" s="24" t="s">
        <v>215</v>
      </c>
      <c r="Z208" s="24"/>
      <c r="AA208" s="78"/>
      <c r="AB208" s="78"/>
      <c r="AC208" s="78"/>
      <c r="AD208" s="6"/>
      <c r="AE208" s="71" t="s">
        <v>378</v>
      </c>
      <c r="AF208" s="15"/>
      <c r="AG208" s="15"/>
      <c r="AH208" s="15"/>
      <c r="AI208" s="15"/>
      <c r="AJ208" s="15"/>
      <c r="AK208" s="15"/>
      <c r="AL208" s="15"/>
      <c r="AM208" s="15"/>
      <c r="AN208" s="15"/>
      <c r="AO208" s="15"/>
      <c r="AP208" s="15"/>
      <c r="AQ208" s="15"/>
      <c r="AR208" s="15"/>
      <c r="AS208" s="15"/>
      <c r="AT208" s="15"/>
    </row>
    <row r="209" spans="1:46" s="15" customFormat="1" ht="18.75" hidden="1" thickBot="1" x14ac:dyDescent="0.3">
      <c r="A209" s="16" t="s">
        <v>289</v>
      </c>
      <c r="B209" s="6">
        <v>25288</v>
      </c>
      <c r="C209" s="44">
        <v>44000</v>
      </c>
      <c r="D209" s="4" t="s">
        <v>105</v>
      </c>
      <c r="E209" s="6" t="s">
        <v>290</v>
      </c>
      <c r="F209" s="6" t="s">
        <v>804</v>
      </c>
      <c r="G209" s="6" t="s">
        <v>108</v>
      </c>
      <c r="H209" s="11" t="s">
        <v>37</v>
      </c>
      <c r="I209" s="11" t="s">
        <v>350</v>
      </c>
      <c r="J209" s="11" t="s">
        <v>292</v>
      </c>
      <c r="K209" s="171"/>
      <c r="L209" s="313">
        <v>45450</v>
      </c>
      <c r="M209" s="7"/>
      <c r="N209" s="73" t="s">
        <v>40</v>
      </c>
      <c r="O209" s="13">
        <f>2052+400</f>
        <v>2452</v>
      </c>
      <c r="P209" s="73" t="s">
        <v>41</v>
      </c>
      <c r="Q209" s="36">
        <f>+O209/C209</f>
        <v>5.5727272727272729E-2</v>
      </c>
      <c r="R209" s="7">
        <v>45470</v>
      </c>
      <c r="S209" s="161"/>
      <c r="T209" s="7">
        <v>45480</v>
      </c>
      <c r="U209" s="67" t="s">
        <v>76</v>
      </c>
      <c r="V209" s="7">
        <v>45484</v>
      </c>
      <c r="W209" s="11" t="s">
        <v>45</v>
      </c>
      <c r="X209" s="114">
        <v>48800</v>
      </c>
      <c r="Y209" s="11" t="s">
        <v>341</v>
      </c>
      <c r="Z209" s="11"/>
      <c r="AA209" s="78"/>
      <c r="AB209" s="7">
        <v>45482</v>
      </c>
      <c r="AC209" s="7">
        <v>45480</v>
      </c>
      <c r="AD209" s="38"/>
      <c r="AE209" s="71">
        <v>45471</v>
      </c>
    </row>
    <row r="210" spans="1:46" s="30" customFormat="1" ht="18" hidden="1" x14ac:dyDescent="0.25">
      <c r="A210" s="86" t="s">
        <v>450</v>
      </c>
      <c r="B210" s="22">
        <v>26922</v>
      </c>
      <c r="C210" s="23">
        <v>40000</v>
      </c>
      <c r="D210" s="22" t="s">
        <v>249</v>
      </c>
      <c r="E210" s="22" t="s">
        <v>805</v>
      </c>
      <c r="F210" s="22"/>
      <c r="G210" s="22"/>
      <c r="H210" s="22"/>
      <c r="I210" s="24"/>
      <c r="J210" s="22"/>
      <c r="K210" s="256"/>
      <c r="L210" s="314"/>
      <c r="M210" s="25"/>
      <c r="N210" s="22" t="s">
        <v>45</v>
      </c>
      <c r="O210" s="247"/>
      <c r="P210" s="22"/>
      <c r="Q210" s="27"/>
      <c r="R210" s="217"/>
      <c r="S210" s="27"/>
      <c r="T210" s="25">
        <v>45484</v>
      </c>
      <c r="U210" s="245" t="s">
        <v>66</v>
      </c>
      <c r="V210" s="25">
        <v>45484</v>
      </c>
      <c r="W210" s="24" t="s">
        <v>45</v>
      </c>
      <c r="X210" s="29"/>
      <c r="Y210" s="24" t="s">
        <v>215</v>
      </c>
      <c r="Z210" s="24"/>
      <c r="AA210" s="78"/>
      <c r="AB210" s="78"/>
      <c r="AC210" s="78"/>
      <c r="AD210" s="45"/>
      <c r="AE210" s="71" t="s">
        <v>378</v>
      </c>
      <c r="AF210" s="15"/>
      <c r="AG210" s="15"/>
      <c r="AH210" s="15"/>
      <c r="AI210" s="15"/>
      <c r="AJ210" s="15"/>
      <c r="AK210" s="15"/>
      <c r="AL210" s="15"/>
      <c r="AM210" s="15"/>
      <c r="AN210" s="15"/>
      <c r="AO210" s="15"/>
      <c r="AP210" s="15"/>
      <c r="AQ210" s="15"/>
      <c r="AR210" s="15"/>
      <c r="AS210" s="15"/>
      <c r="AT210" s="15"/>
    </row>
    <row r="211" spans="1:46" s="30" customFormat="1" ht="18" hidden="1" customHeight="1" x14ac:dyDescent="0.25">
      <c r="A211" s="86" t="s">
        <v>251</v>
      </c>
      <c r="B211" s="22">
        <v>26547</v>
      </c>
      <c r="C211" s="23">
        <v>40500</v>
      </c>
      <c r="D211" s="22" t="s">
        <v>249</v>
      </c>
      <c r="E211" s="22" t="s">
        <v>421</v>
      </c>
      <c r="F211" s="22"/>
      <c r="G211" s="22"/>
      <c r="H211" s="24" t="s">
        <v>37</v>
      </c>
      <c r="I211" s="24" t="s">
        <v>253</v>
      </c>
      <c r="J211" s="24" t="s">
        <v>62</v>
      </c>
      <c r="K211" s="24"/>
      <c r="L211" s="255">
        <v>45482</v>
      </c>
      <c r="M211" s="25"/>
      <c r="N211" s="22" t="s">
        <v>39</v>
      </c>
      <c r="O211" s="247">
        <v>6650</v>
      </c>
      <c r="P211" s="22" t="s">
        <v>80</v>
      </c>
      <c r="Q211" s="27">
        <f t="shared" ref="Q211:Q216" si="7">+O211/C211</f>
        <v>0.16419753086419753</v>
      </c>
      <c r="R211" s="217"/>
      <c r="S211" s="27"/>
      <c r="T211" s="25"/>
      <c r="U211" s="28" t="s">
        <v>66</v>
      </c>
      <c r="V211" s="25">
        <v>45485</v>
      </c>
      <c r="W211" s="24" t="s">
        <v>45</v>
      </c>
      <c r="X211" s="29">
        <v>92340</v>
      </c>
      <c r="Y211" s="24" t="s">
        <v>215</v>
      </c>
      <c r="Z211" s="24"/>
      <c r="AA211" s="78"/>
      <c r="AB211" s="78"/>
      <c r="AC211" s="7"/>
      <c r="AD211" s="6" t="s">
        <v>806</v>
      </c>
      <c r="AE211" s="71">
        <v>45520</v>
      </c>
      <c r="AF211" s="15"/>
      <c r="AG211" s="15"/>
      <c r="AH211" s="15"/>
      <c r="AI211" s="15"/>
      <c r="AJ211" s="15"/>
      <c r="AK211" s="15"/>
      <c r="AL211" s="15"/>
      <c r="AM211" s="15"/>
      <c r="AN211" s="15"/>
      <c r="AO211" s="15"/>
      <c r="AP211" s="15"/>
      <c r="AQ211" s="15"/>
      <c r="AR211" s="15"/>
      <c r="AS211" s="15"/>
      <c r="AT211" s="15"/>
    </row>
    <row r="212" spans="1:46" s="30" customFormat="1" ht="18" hidden="1" customHeight="1" x14ac:dyDescent="0.25">
      <c r="A212" s="86" t="s">
        <v>532</v>
      </c>
      <c r="B212" s="22">
        <v>26459</v>
      </c>
      <c r="C212" s="246">
        <v>40000</v>
      </c>
      <c r="D212" s="22" t="s">
        <v>249</v>
      </c>
      <c r="E212" s="22" t="s">
        <v>807</v>
      </c>
      <c r="F212" s="22"/>
      <c r="G212" s="22"/>
      <c r="H212" s="24" t="s">
        <v>37</v>
      </c>
      <c r="I212" s="24" t="s">
        <v>729</v>
      </c>
      <c r="J212" s="24" t="s">
        <v>62</v>
      </c>
      <c r="K212" s="24"/>
      <c r="L212" s="255">
        <v>45482</v>
      </c>
      <c r="M212" s="25"/>
      <c r="N212" s="22" t="s">
        <v>39</v>
      </c>
      <c r="O212" s="247">
        <v>6650</v>
      </c>
      <c r="P212" s="22" t="s">
        <v>80</v>
      </c>
      <c r="Q212" s="27">
        <f t="shared" si="7"/>
        <v>0.16625000000000001</v>
      </c>
      <c r="R212" s="217"/>
      <c r="S212" s="27"/>
      <c r="T212" s="24"/>
      <c r="U212" s="28" t="s">
        <v>66</v>
      </c>
      <c r="V212" s="25">
        <v>45485</v>
      </c>
      <c r="W212" s="24" t="s">
        <v>45</v>
      </c>
      <c r="X212" s="248">
        <v>94000</v>
      </c>
      <c r="Y212" s="24" t="s">
        <v>215</v>
      </c>
      <c r="Z212" s="24"/>
      <c r="AA212" s="78"/>
      <c r="AB212" s="78"/>
      <c r="AC212" s="7">
        <v>45485</v>
      </c>
      <c r="AD212" s="38"/>
      <c r="AE212" s="71">
        <v>45504</v>
      </c>
      <c r="AF212" s="15"/>
      <c r="AG212" s="15"/>
      <c r="AH212" s="15"/>
      <c r="AI212" s="15"/>
      <c r="AJ212" s="15"/>
      <c r="AK212" s="15"/>
      <c r="AL212" s="15"/>
      <c r="AM212" s="15"/>
      <c r="AN212" s="15"/>
      <c r="AO212" s="15"/>
      <c r="AP212" s="15"/>
      <c r="AQ212" s="15"/>
      <c r="AR212" s="15"/>
      <c r="AS212" s="15"/>
      <c r="AT212" s="15"/>
    </row>
    <row r="213" spans="1:46" s="15" customFormat="1" ht="18.75" hidden="1" thickBot="1" x14ac:dyDescent="0.3">
      <c r="A213" s="209" t="s">
        <v>808</v>
      </c>
      <c r="B213" s="6">
        <v>26045</v>
      </c>
      <c r="C213" s="5">
        <v>35000</v>
      </c>
      <c r="D213" s="6" t="s">
        <v>105</v>
      </c>
      <c r="E213" s="6" t="s">
        <v>809</v>
      </c>
      <c r="F213" s="67" t="s">
        <v>810</v>
      </c>
      <c r="G213" s="4" t="s">
        <v>36</v>
      </c>
      <c r="H213" s="11" t="s">
        <v>37</v>
      </c>
      <c r="I213" s="11" t="s">
        <v>281</v>
      </c>
      <c r="J213" s="11" t="s">
        <v>120</v>
      </c>
      <c r="K213" s="171"/>
      <c r="L213" s="313">
        <v>45448</v>
      </c>
      <c r="M213" s="7" t="s">
        <v>811</v>
      </c>
      <c r="N213" s="6" t="s">
        <v>40</v>
      </c>
      <c r="O213" s="250">
        <f>4835+45+50+400</f>
        <v>5330</v>
      </c>
      <c r="P213" s="6" t="s">
        <v>41</v>
      </c>
      <c r="Q213" s="36">
        <f t="shared" si="7"/>
        <v>0.15228571428571427</v>
      </c>
      <c r="R213" s="7">
        <v>45473</v>
      </c>
      <c r="S213" s="41" t="s">
        <v>65</v>
      </c>
      <c r="T213" s="7">
        <v>45484</v>
      </c>
      <c r="U213" s="46" t="s">
        <v>76</v>
      </c>
      <c r="V213" s="7">
        <v>45485</v>
      </c>
      <c r="W213" s="10" t="s">
        <v>45</v>
      </c>
      <c r="X213" s="114">
        <f>85750-21437.5</f>
        <v>64312.5</v>
      </c>
      <c r="Y213" s="11" t="s">
        <v>68</v>
      </c>
      <c r="Z213" s="11"/>
      <c r="AA213" s="7">
        <v>45482</v>
      </c>
      <c r="AB213" s="7">
        <v>45483</v>
      </c>
      <c r="AC213" s="7">
        <v>45484</v>
      </c>
      <c r="AD213" s="242"/>
      <c r="AE213" s="71">
        <v>45484</v>
      </c>
    </row>
    <row r="214" spans="1:46" s="15" customFormat="1" ht="18.75" hidden="1" thickBot="1" x14ac:dyDescent="0.3">
      <c r="A214" s="209" t="s">
        <v>808</v>
      </c>
      <c r="B214" s="6">
        <v>26046</v>
      </c>
      <c r="C214" s="5">
        <v>35000</v>
      </c>
      <c r="D214" s="6" t="s">
        <v>105</v>
      </c>
      <c r="E214" s="6" t="s">
        <v>809</v>
      </c>
      <c r="F214" s="67" t="s">
        <v>812</v>
      </c>
      <c r="G214" s="4" t="s">
        <v>36</v>
      </c>
      <c r="H214" s="11" t="s">
        <v>37</v>
      </c>
      <c r="I214" s="11" t="s">
        <v>281</v>
      </c>
      <c r="J214" s="11" t="s">
        <v>120</v>
      </c>
      <c r="K214" s="171"/>
      <c r="L214" s="313">
        <v>45448</v>
      </c>
      <c r="M214" s="7" t="s">
        <v>811</v>
      </c>
      <c r="N214" s="6" t="s">
        <v>40</v>
      </c>
      <c r="O214" s="250">
        <f>4835+45+50+400</f>
        <v>5330</v>
      </c>
      <c r="P214" s="6" t="s">
        <v>41</v>
      </c>
      <c r="Q214" s="36">
        <f t="shared" si="7"/>
        <v>0.15228571428571427</v>
      </c>
      <c r="R214" s="7">
        <v>45473</v>
      </c>
      <c r="S214" s="41" t="s">
        <v>65</v>
      </c>
      <c r="T214" s="7">
        <v>45484</v>
      </c>
      <c r="U214" s="46" t="s">
        <v>76</v>
      </c>
      <c r="V214" s="7">
        <v>45485</v>
      </c>
      <c r="W214" s="10" t="s">
        <v>45</v>
      </c>
      <c r="X214" s="114">
        <f>85750-21437.5</f>
        <v>64312.5</v>
      </c>
      <c r="Y214" s="11" t="s">
        <v>68</v>
      </c>
      <c r="Z214" s="11"/>
      <c r="AA214" s="7">
        <v>45482</v>
      </c>
      <c r="AB214" s="7">
        <v>45483</v>
      </c>
      <c r="AC214" s="7">
        <v>45484</v>
      </c>
      <c r="AD214" s="242"/>
      <c r="AE214" s="71">
        <v>45482</v>
      </c>
    </row>
    <row r="215" spans="1:46" s="15" customFormat="1" ht="18.75" hidden="1" thickBot="1" x14ac:dyDescent="0.3">
      <c r="A215" s="16" t="s">
        <v>364</v>
      </c>
      <c r="B215" s="6">
        <v>26509</v>
      </c>
      <c r="C215" s="5">
        <v>55115</v>
      </c>
      <c r="D215" s="6" t="s">
        <v>813</v>
      </c>
      <c r="E215" s="6" t="s">
        <v>814</v>
      </c>
      <c r="F215" s="6" t="s">
        <v>815</v>
      </c>
      <c r="G215" s="6" t="s">
        <v>36</v>
      </c>
      <c r="H215" s="6" t="s">
        <v>51</v>
      </c>
      <c r="I215" s="6"/>
      <c r="J215" s="6" t="s">
        <v>53</v>
      </c>
      <c r="K215" s="167"/>
      <c r="L215" s="313">
        <v>45451</v>
      </c>
      <c r="M215" s="7"/>
      <c r="N215" s="6" t="s">
        <v>40</v>
      </c>
      <c r="O215" s="250">
        <v>575</v>
      </c>
      <c r="P215" s="6" t="s">
        <v>80</v>
      </c>
      <c r="Q215" s="41">
        <f t="shared" si="7"/>
        <v>1.0432731561280958E-2</v>
      </c>
      <c r="R215" s="7">
        <v>45474</v>
      </c>
      <c r="S215" s="41" t="s">
        <v>65</v>
      </c>
      <c r="T215" s="7">
        <v>45483</v>
      </c>
      <c r="U215" s="67" t="s">
        <v>76</v>
      </c>
      <c r="V215" s="7">
        <v>45489</v>
      </c>
      <c r="W215" s="10" t="s">
        <v>45</v>
      </c>
      <c r="X215" s="114">
        <v>91300</v>
      </c>
      <c r="Y215" s="11" t="s">
        <v>341</v>
      </c>
      <c r="Z215" s="11"/>
      <c r="AA215" s="78"/>
      <c r="AB215" s="7">
        <v>45489</v>
      </c>
      <c r="AC215" s="7">
        <v>45483</v>
      </c>
      <c r="AD215" s="38"/>
      <c r="AE215" s="7">
        <v>45493</v>
      </c>
    </row>
    <row r="216" spans="1:46" s="2" customFormat="1" ht="18" hidden="1" x14ac:dyDescent="0.25">
      <c r="A216" s="9" t="s">
        <v>364</v>
      </c>
      <c r="B216" s="231" t="s">
        <v>816</v>
      </c>
      <c r="C216" s="5">
        <v>24000</v>
      </c>
      <c r="D216" s="6" t="s">
        <v>105</v>
      </c>
      <c r="E216" s="12" t="s">
        <v>817</v>
      </c>
      <c r="F216" s="6" t="s">
        <v>818</v>
      </c>
      <c r="G216" s="6" t="s">
        <v>130</v>
      </c>
      <c r="H216" s="6" t="s">
        <v>51</v>
      </c>
      <c r="I216" s="6"/>
      <c r="J216" s="8" t="s">
        <v>75</v>
      </c>
      <c r="K216" s="8"/>
      <c r="L216" s="7">
        <v>45433</v>
      </c>
      <c r="M216" s="8"/>
      <c r="N216" s="6" t="s">
        <v>40</v>
      </c>
      <c r="O216" s="250">
        <v>575</v>
      </c>
      <c r="P216" s="6" t="s">
        <v>80</v>
      </c>
      <c r="Q216" s="41">
        <f t="shared" si="7"/>
        <v>2.3958333333333335E-2</v>
      </c>
      <c r="R216" s="7">
        <v>45469</v>
      </c>
      <c r="S216" s="41" t="s">
        <v>65</v>
      </c>
      <c r="T216" s="7">
        <v>45484</v>
      </c>
      <c r="U216" s="67" t="s">
        <v>76</v>
      </c>
      <c r="V216" s="7">
        <v>45489</v>
      </c>
      <c r="W216" s="10" t="s">
        <v>45</v>
      </c>
      <c r="X216" s="114">
        <v>85890</v>
      </c>
      <c r="Y216" s="11" t="s">
        <v>341</v>
      </c>
      <c r="Z216" s="11"/>
      <c r="AA216" s="78"/>
      <c r="AB216" s="7">
        <v>45488</v>
      </c>
      <c r="AC216" s="7">
        <v>45484</v>
      </c>
      <c r="AD216" s="11"/>
      <c r="AE216" s="7">
        <v>45493</v>
      </c>
      <c r="AF216" s="15"/>
      <c r="AG216" s="15"/>
      <c r="AH216" s="15"/>
      <c r="AI216" s="15"/>
      <c r="AJ216" s="15"/>
      <c r="AK216" s="15"/>
      <c r="AL216" s="15"/>
      <c r="AM216" s="15"/>
      <c r="AN216" s="15"/>
      <c r="AO216" s="15"/>
    </row>
    <row r="217" spans="1:46" s="30" customFormat="1" ht="18" hidden="1" customHeight="1" x14ac:dyDescent="0.25">
      <c r="A217" s="21" t="s">
        <v>259</v>
      </c>
      <c r="B217" s="22">
        <v>24555</v>
      </c>
      <c r="C217" s="23">
        <v>40500</v>
      </c>
      <c r="D217" s="22" t="s">
        <v>249</v>
      </c>
      <c r="E217" s="22" t="s">
        <v>819</v>
      </c>
      <c r="F217" s="22"/>
      <c r="G217" s="22"/>
      <c r="H217" s="24" t="s">
        <v>37</v>
      </c>
      <c r="I217" s="24" t="s">
        <v>261</v>
      </c>
      <c r="J217" s="24" t="s">
        <v>53</v>
      </c>
      <c r="K217" s="24"/>
      <c r="L217" s="25">
        <v>45492</v>
      </c>
      <c r="M217" s="25"/>
      <c r="N217" s="22"/>
      <c r="O217" s="26"/>
      <c r="P217" s="22"/>
      <c r="Q217" s="27"/>
      <c r="R217" s="217"/>
      <c r="S217" s="27"/>
      <c r="T217" s="24"/>
      <c r="U217" s="28" t="s">
        <v>66</v>
      </c>
      <c r="V217" s="25">
        <v>45492</v>
      </c>
      <c r="W217" s="55" t="s">
        <v>45</v>
      </c>
      <c r="X217" s="29">
        <v>64593</v>
      </c>
      <c r="Y217" s="24" t="s">
        <v>215</v>
      </c>
      <c r="Z217" s="24"/>
      <c r="AA217" s="78"/>
      <c r="AB217" s="78"/>
      <c r="AC217" s="78"/>
      <c r="AD217" s="6"/>
      <c r="AE217" s="71" t="s">
        <v>378</v>
      </c>
      <c r="AF217" s="15"/>
      <c r="AG217" s="15"/>
      <c r="AH217" s="15"/>
      <c r="AI217" s="15"/>
      <c r="AJ217" s="15"/>
      <c r="AK217" s="15"/>
      <c r="AL217" s="15"/>
      <c r="AM217" s="15"/>
      <c r="AN217" s="15"/>
      <c r="AO217" s="15"/>
      <c r="AP217" s="15"/>
      <c r="AQ217" s="15"/>
      <c r="AR217" s="15"/>
      <c r="AS217" s="15"/>
      <c r="AT217" s="15"/>
    </row>
    <row r="218" spans="1:46" s="30" customFormat="1" ht="18" hidden="1" customHeight="1" x14ac:dyDescent="0.25">
      <c r="A218" s="21" t="s">
        <v>248</v>
      </c>
      <c r="B218" s="22">
        <v>26290</v>
      </c>
      <c r="C218" s="243">
        <v>40950</v>
      </c>
      <c r="D218" s="22" t="s">
        <v>249</v>
      </c>
      <c r="E218" s="22" t="s">
        <v>250</v>
      </c>
      <c r="F218" s="22"/>
      <c r="G218" s="22"/>
      <c r="H218" s="22" t="s">
        <v>60</v>
      </c>
      <c r="I218" s="24"/>
      <c r="J218" s="24" t="s">
        <v>62</v>
      </c>
      <c r="K218" s="24"/>
      <c r="L218" s="25">
        <v>45477</v>
      </c>
      <c r="M218" s="25"/>
      <c r="N218" s="22"/>
      <c r="O218" s="26"/>
      <c r="P218" s="22"/>
      <c r="Q218" s="27"/>
      <c r="R218" s="244"/>
      <c r="S218" s="315"/>
      <c r="T218" s="55"/>
      <c r="U218" s="28" t="s">
        <v>66</v>
      </c>
      <c r="V218" s="25" t="s">
        <v>820</v>
      </c>
      <c r="W218" s="55" t="s">
        <v>45</v>
      </c>
      <c r="X218" s="29">
        <v>69615</v>
      </c>
      <c r="Y218" s="24" t="s">
        <v>215</v>
      </c>
      <c r="Z218" s="24"/>
      <c r="AA218" s="78"/>
      <c r="AB218" s="78"/>
      <c r="AC218" s="7">
        <v>45495</v>
      </c>
      <c r="AD218" s="38"/>
      <c r="AE218" s="71" t="s">
        <v>378</v>
      </c>
      <c r="AF218" s="15"/>
      <c r="AG218" s="15"/>
      <c r="AH218" s="15"/>
      <c r="AI218" s="15"/>
      <c r="AJ218" s="15"/>
      <c r="AK218" s="15"/>
      <c r="AL218" s="15"/>
      <c r="AM218" s="15"/>
      <c r="AN218" s="15"/>
      <c r="AO218" s="15"/>
      <c r="AP218" s="15"/>
      <c r="AQ218" s="15"/>
      <c r="AR218" s="15"/>
      <c r="AS218" s="15"/>
      <c r="AT218" s="15"/>
    </row>
    <row r="219" spans="1:46" s="30" customFormat="1" ht="18" hidden="1" customHeight="1" x14ac:dyDescent="0.25">
      <c r="A219" s="21" t="s">
        <v>438</v>
      </c>
      <c r="B219" s="22">
        <v>26891</v>
      </c>
      <c r="C219" s="23">
        <v>40000</v>
      </c>
      <c r="D219" s="22" t="s">
        <v>249</v>
      </c>
      <c r="E219" s="22" t="s">
        <v>439</v>
      </c>
      <c r="F219" s="22"/>
      <c r="G219" s="22"/>
      <c r="H219" s="24" t="s">
        <v>37</v>
      </c>
      <c r="I219" s="24" t="s">
        <v>821</v>
      </c>
      <c r="J219" s="24" t="s">
        <v>62</v>
      </c>
      <c r="K219" s="24"/>
      <c r="L219" s="25">
        <v>45490</v>
      </c>
      <c r="M219" s="25"/>
      <c r="N219" s="22" t="s">
        <v>357</v>
      </c>
      <c r="O219" s="26">
        <v>6295</v>
      </c>
      <c r="P219" s="22" t="s">
        <v>80</v>
      </c>
      <c r="Q219" s="27">
        <f>+O219/C219</f>
        <v>0.15737499999999999</v>
      </c>
      <c r="R219" s="244"/>
      <c r="S219" s="315"/>
      <c r="T219" s="55"/>
      <c r="U219" s="28" t="s">
        <v>66</v>
      </c>
      <c r="V219" s="25" t="s">
        <v>820</v>
      </c>
      <c r="W219" s="24" t="s">
        <v>45</v>
      </c>
      <c r="X219" s="29">
        <v>68800</v>
      </c>
      <c r="Y219" s="24" t="s">
        <v>215</v>
      </c>
      <c r="Z219" s="24"/>
      <c r="AA219" s="78"/>
      <c r="AB219" s="78"/>
      <c r="AC219" s="7">
        <v>45495</v>
      </c>
      <c r="AD219" s="38"/>
      <c r="AE219" s="71">
        <v>45524</v>
      </c>
      <c r="AF219" s="15"/>
      <c r="AG219" s="15"/>
      <c r="AH219" s="15"/>
      <c r="AI219" s="15"/>
      <c r="AJ219" s="15"/>
      <c r="AK219" s="15"/>
      <c r="AL219" s="15"/>
      <c r="AM219" s="15"/>
      <c r="AN219" s="15"/>
      <c r="AO219" s="15"/>
      <c r="AP219" s="15"/>
      <c r="AQ219" s="15"/>
      <c r="AR219" s="15"/>
      <c r="AS219" s="15"/>
      <c r="AT219" s="15"/>
    </row>
    <row r="220" spans="1:46" s="30" customFormat="1" ht="18" hidden="1" customHeight="1" x14ac:dyDescent="0.25">
      <c r="A220" s="21" t="s">
        <v>274</v>
      </c>
      <c r="B220" s="22">
        <v>26553</v>
      </c>
      <c r="C220" s="246">
        <v>40000</v>
      </c>
      <c r="D220" s="22">
        <v>20</v>
      </c>
      <c r="E220" s="22" t="s">
        <v>822</v>
      </c>
      <c r="F220" s="22"/>
      <c r="G220" s="22"/>
      <c r="H220" s="24" t="s">
        <v>37</v>
      </c>
      <c r="I220" s="24" t="s">
        <v>729</v>
      </c>
      <c r="J220" s="24" t="s">
        <v>62</v>
      </c>
      <c r="K220" s="24"/>
      <c r="L220" s="25">
        <v>45492</v>
      </c>
      <c r="M220" s="25"/>
      <c r="N220" s="22" t="s">
        <v>791</v>
      </c>
      <c r="O220" s="247">
        <v>6450</v>
      </c>
      <c r="P220" s="22" t="s">
        <v>80</v>
      </c>
      <c r="Q220" s="27">
        <f>+O220/C220</f>
        <v>0.16125</v>
      </c>
      <c r="R220" s="217"/>
      <c r="S220" s="27"/>
      <c r="T220" s="24"/>
      <c r="U220" s="28" t="s">
        <v>66</v>
      </c>
      <c r="V220" s="25" t="s">
        <v>820</v>
      </c>
      <c r="W220" s="24" t="s">
        <v>45</v>
      </c>
      <c r="X220" s="248">
        <v>70000</v>
      </c>
      <c r="Y220" s="24" t="s">
        <v>215</v>
      </c>
      <c r="Z220" s="24"/>
      <c r="AA220" s="78"/>
      <c r="AB220" s="78"/>
      <c r="AC220" s="7">
        <v>45494</v>
      </c>
      <c r="AD220" s="48"/>
      <c r="AE220" s="71">
        <v>45492</v>
      </c>
      <c r="AF220" s="15"/>
      <c r="AG220" s="15"/>
      <c r="AH220" s="15"/>
      <c r="AI220" s="15"/>
      <c r="AJ220" s="15"/>
      <c r="AK220" s="15"/>
      <c r="AL220" s="15"/>
      <c r="AM220" s="15"/>
      <c r="AN220" s="15"/>
      <c r="AO220" s="15"/>
      <c r="AP220" s="15"/>
      <c r="AQ220" s="15"/>
      <c r="AR220" s="15"/>
      <c r="AS220" s="15"/>
      <c r="AT220" s="15"/>
    </row>
    <row r="221" spans="1:46" s="15" customFormat="1" ht="18" hidden="1" x14ac:dyDescent="0.25">
      <c r="A221" s="16" t="s">
        <v>47</v>
      </c>
      <c r="B221" s="6">
        <v>25787</v>
      </c>
      <c r="C221" s="5">
        <v>55000</v>
      </c>
      <c r="D221" s="6" t="s">
        <v>48</v>
      </c>
      <c r="E221" s="6" t="s">
        <v>49</v>
      </c>
      <c r="F221" s="6" t="s">
        <v>823</v>
      </c>
      <c r="G221" s="6" t="s">
        <v>794</v>
      </c>
      <c r="H221" s="6" t="s">
        <v>51</v>
      </c>
      <c r="I221" s="6"/>
      <c r="J221" s="6" t="s">
        <v>479</v>
      </c>
      <c r="K221" s="6"/>
      <c r="L221" s="7">
        <v>45457</v>
      </c>
      <c r="M221" s="7"/>
      <c r="N221" s="73" t="s">
        <v>40</v>
      </c>
      <c r="O221" s="13">
        <v>575</v>
      </c>
      <c r="P221" s="6" t="s">
        <v>80</v>
      </c>
      <c r="Q221" s="19">
        <f>+O221/C221</f>
        <v>1.0454545454545454E-2</v>
      </c>
      <c r="R221" s="219"/>
      <c r="S221" s="36"/>
      <c r="T221" s="7">
        <v>45496</v>
      </c>
      <c r="U221" s="17" t="s">
        <v>43</v>
      </c>
      <c r="V221" s="7" t="s">
        <v>820</v>
      </c>
      <c r="W221" s="10" t="s">
        <v>358</v>
      </c>
      <c r="X221" s="114">
        <v>23462</v>
      </c>
      <c r="Y221" s="11" t="s">
        <v>341</v>
      </c>
      <c r="Z221" s="11"/>
      <c r="AA221" s="78"/>
      <c r="AB221" s="7">
        <v>45492</v>
      </c>
      <c r="AC221" s="7">
        <v>45496</v>
      </c>
      <c r="AD221" s="38"/>
      <c r="AE221" s="71">
        <v>38195</v>
      </c>
    </row>
    <row r="222" spans="1:46" s="15" customFormat="1" ht="18" hidden="1" x14ac:dyDescent="0.25">
      <c r="A222" s="16" t="s">
        <v>824</v>
      </c>
      <c r="B222" s="4">
        <v>26182</v>
      </c>
      <c r="C222" s="44">
        <v>44120</v>
      </c>
      <c r="D222" s="6" t="s">
        <v>48</v>
      </c>
      <c r="E222" s="254" t="s">
        <v>186</v>
      </c>
      <c r="F222" s="4" t="s">
        <v>825</v>
      </c>
      <c r="G222" s="6" t="s">
        <v>130</v>
      </c>
      <c r="H222" s="4" t="s">
        <v>109</v>
      </c>
      <c r="I222" s="162" t="s">
        <v>281</v>
      </c>
      <c r="J222" s="162" t="s">
        <v>120</v>
      </c>
      <c r="K222" s="162"/>
      <c r="L222" s="7">
        <v>45436</v>
      </c>
      <c r="M222" s="3"/>
      <c r="N222" s="6" t="s">
        <v>40</v>
      </c>
      <c r="O222" s="250">
        <v>575</v>
      </c>
      <c r="P222" s="6" t="s">
        <v>80</v>
      </c>
      <c r="Q222" s="41">
        <f>+O222/C222</f>
        <v>1.3032638259292838E-2</v>
      </c>
      <c r="R222" s="7">
        <v>45484</v>
      </c>
      <c r="S222" s="41" t="s">
        <v>65</v>
      </c>
      <c r="T222" s="7">
        <v>45497</v>
      </c>
      <c r="U222" s="46" t="s">
        <v>178</v>
      </c>
      <c r="V222" s="7" t="s">
        <v>820</v>
      </c>
      <c r="W222" s="10" t="s">
        <v>503</v>
      </c>
      <c r="X222" s="114">
        <f>19300-3719.8</f>
        <v>15580.2</v>
      </c>
      <c r="Y222" s="11" t="s">
        <v>341</v>
      </c>
      <c r="Z222" s="11"/>
      <c r="AA222" s="78"/>
      <c r="AB222" s="7">
        <v>45490</v>
      </c>
      <c r="AC222" s="7">
        <v>45496</v>
      </c>
      <c r="AD222" s="38"/>
      <c r="AE222" s="71">
        <v>38195</v>
      </c>
    </row>
    <row r="223" spans="1:46" s="15" customFormat="1" ht="18" hidden="1" x14ac:dyDescent="0.25">
      <c r="A223" s="16" t="s">
        <v>824</v>
      </c>
      <c r="B223" s="4">
        <v>26180</v>
      </c>
      <c r="C223" s="44">
        <v>44120</v>
      </c>
      <c r="D223" s="6" t="s">
        <v>48</v>
      </c>
      <c r="E223" s="254" t="s">
        <v>186</v>
      </c>
      <c r="F223" s="4" t="s">
        <v>826</v>
      </c>
      <c r="G223" s="6" t="s">
        <v>130</v>
      </c>
      <c r="H223" s="4" t="s">
        <v>109</v>
      </c>
      <c r="I223" s="162" t="s">
        <v>281</v>
      </c>
      <c r="J223" s="162" t="s">
        <v>120</v>
      </c>
      <c r="K223" s="162"/>
      <c r="L223" s="7">
        <v>45436</v>
      </c>
      <c r="M223" s="3"/>
      <c r="N223" s="6" t="s">
        <v>40</v>
      </c>
      <c r="O223" s="250">
        <v>575</v>
      </c>
      <c r="P223" s="6" t="s">
        <v>80</v>
      </c>
      <c r="Q223" s="41">
        <f>+O223/C223</f>
        <v>1.3032638259292838E-2</v>
      </c>
      <c r="R223" s="7">
        <v>45484</v>
      </c>
      <c r="S223" s="41" t="s">
        <v>65</v>
      </c>
      <c r="T223" s="7">
        <v>45497</v>
      </c>
      <c r="U223" s="46" t="s">
        <v>178</v>
      </c>
      <c r="V223" s="7" t="s">
        <v>820</v>
      </c>
      <c r="W223" s="10" t="s">
        <v>503</v>
      </c>
      <c r="X223" s="114">
        <f>19300-3719.8</f>
        <v>15580.2</v>
      </c>
      <c r="Y223" s="11" t="s">
        <v>341</v>
      </c>
      <c r="Z223" s="11"/>
      <c r="AA223" s="78"/>
      <c r="AB223" s="7">
        <v>45490</v>
      </c>
      <c r="AC223" s="7">
        <v>45496</v>
      </c>
      <c r="AD223" s="38"/>
      <c r="AE223" s="71">
        <v>38195</v>
      </c>
    </row>
    <row r="224" spans="1:46" s="30" customFormat="1" ht="18" hidden="1" x14ac:dyDescent="0.25">
      <c r="A224" s="21" t="s">
        <v>77</v>
      </c>
      <c r="B224" s="22">
        <v>26884</v>
      </c>
      <c r="C224" s="23">
        <v>40000</v>
      </c>
      <c r="D224" s="22" t="s">
        <v>249</v>
      </c>
      <c r="E224" s="22" t="s">
        <v>827</v>
      </c>
      <c r="F224" s="22"/>
      <c r="G224" s="22"/>
      <c r="H224" s="22" t="s">
        <v>60</v>
      </c>
      <c r="I224" s="24"/>
      <c r="J224" s="22"/>
      <c r="K224" s="22"/>
      <c r="L224" s="25">
        <v>45499</v>
      </c>
      <c r="M224" s="25"/>
      <c r="N224" s="22"/>
      <c r="O224" s="247"/>
      <c r="P224" s="22"/>
      <c r="Q224" s="27"/>
      <c r="R224" s="217"/>
      <c r="S224" s="27"/>
      <c r="T224" s="25">
        <v>45499</v>
      </c>
      <c r="U224" s="28" t="s">
        <v>66</v>
      </c>
      <c r="V224" s="25" t="s">
        <v>820</v>
      </c>
      <c r="W224" s="24" t="s">
        <v>45</v>
      </c>
      <c r="X224" s="29">
        <v>85650</v>
      </c>
      <c r="Y224" s="24" t="s">
        <v>215</v>
      </c>
      <c r="Z224" s="24"/>
      <c r="AA224" s="78"/>
      <c r="AB224" s="78"/>
      <c r="AC224" s="78"/>
      <c r="AD224" s="6"/>
      <c r="AE224" s="71" t="s">
        <v>378</v>
      </c>
      <c r="AF224" s="15"/>
      <c r="AG224" s="15"/>
      <c r="AH224" s="15"/>
      <c r="AI224" s="15"/>
      <c r="AJ224" s="15"/>
      <c r="AK224" s="15"/>
      <c r="AL224" s="15"/>
      <c r="AM224" s="15"/>
      <c r="AN224" s="15"/>
      <c r="AO224" s="15"/>
      <c r="AP224" s="15"/>
      <c r="AQ224" s="15"/>
      <c r="AR224" s="15"/>
      <c r="AS224" s="15"/>
      <c r="AT224" s="15"/>
    </row>
    <row r="225" spans="1:46" s="30" customFormat="1" ht="18" hidden="1" x14ac:dyDescent="0.25">
      <c r="A225" s="21" t="s">
        <v>251</v>
      </c>
      <c r="B225" s="22">
        <v>26548</v>
      </c>
      <c r="C225" s="23">
        <v>40500</v>
      </c>
      <c r="D225" s="22" t="s">
        <v>249</v>
      </c>
      <c r="E225" s="22" t="s">
        <v>828</v>
      </c>
      <c r="F225" s="22"/>
      <c r="G225" s="22"/>
      <c r="H225" s="24" t="s">
        <v>37</v>
      </c>
      <c r="I225" s="24" t="s">
        <v>253</v>
      </c>
      <c r="J225" s="24" t="s">
        <v>62</v>
      </c>
      <c r="K225" s="24"/>
      <c r="L225" s="25">
        <v>45492</v>
      </c>
      <c r="M225" s="25"/>
      <c r="N225" s="22" t="s">
        <v>39</v>
      </c>
      <c r="O225" s="247">
        <v>6450</v>
      </c>
      <c r="P225" s="22" t="s">
        <v>80</v>
      </c>
      <c r="Q225" s="27">
        <f t="shared" ref="Q225:Q231" si="8">+O225/C225</f>
        <v>0.15925925925925927</v>
      </c>
      <c r="R225" s="217"/>
      <c r="S225" s="27"/>
      <c r="T225" s="24"/>
      <c r="U225" s="28" t="s">
        <v>66</v>
      </c>
      <c r="V225" s="25" t="s">
        <v>829</v>
      </c>
      <c r="W225" s="24" t="s">
        <v>45</v>
      </c>
      <c r="X225" s="29">
        <v>98055</v>
      </c>
      <c r="Y225" s="24" t="s">
        <v>215</v>
      </c>
      <c r="Z225" s="24"/>
      <c r="AA225" s="78"/>
      <c r="AB225" s="78"/>
      <c r="AC225" s="7">
        <v>45499</v>
      </c>
      <c r="AD225" s="316" t="s">
        <v>806</v>
      </c>
      <c r="AE225" s="71">
        <v>45517</v>
      </c>
      <c r="AF225" s="15"/>
      <c r="AG225" s="15"/>
      <c r="AH225" s="15"/>
      <c r="AI225" s="15"/>
      <c r="AJ225" s="15"/>
      <c r="AK225" s="15"/>
      <c r="AL225" s="15"/>
      <c r="AM225" s="15"/>
      <c r="AN225" s="15"/>
      <c r="AO225" s="15"/>
      <c r="AP225" s="15"/>
      <c r="AQ225" s="15"/>
      <c r="AR225" s="15"/>
      <c r="AS225" s="15"/>
      <c r="AT225" s="15"/>
    </row>
    <row r="226" spans="1:46" s="30" customFormat="1" ht="18" hidden="1" customHeight="1" x14ac:dyDescent="0.25">
      <c r="A226" s="21" t="s">
        <v>320</v>
      </c>
      <c r="B226" s="22">
        <v>27046</v>
      </c>
      <c r="C226" s="23">
        <f>1584*25</f>
        <v>39600</v>
      </c>
      <c r="D226" s="22" t="s">
        <v>249</v>
      </c>
      <c r="E226" s="22" t="s">
        <v>321</v>
      </c>
      <c r="F226" s="22"/>
      <c r="G226" s="22"/>
      <c r="H226" s="24" t="s">
        <v>37</v>
      </c>
      <c r="I226" s="24" t="s">
        <v>266</v>
      </c>
      <c r="J226" s="24" t="s">
        <v>62</v>
      </c>
      <c r="K226" s="24"/>
      <c r="L226" s="25">
        <v>45499</v>
      </c>
      <c r="M226" s="25"/>
      <c r="N226" s="22" t="s">
        <v>441</v>
      </c>
      <c r="O226" s="26">
        <v>2765</v>
      </c>
      <c r="P226" s="22" t="s">
        <v>80</v>
      </c>
      <c r="Q226" s="655">
        <f t="shared" si="8"/>
        <v>6.9823232323232329E-2</v>
      </c>
      <c r="R226" s="217"/>
      <c r="S226" s="27"/>
      <c r="T226" s="24"/>
      <c r="U226" s="28" t="s">
        <v>66</v>
      </c>
      <c r="V226" s="25" t="s">
        <v>702</v>
      </c>
      <c r="W226" s="24" t="s">
        <v>45</v>
      </c>
      <c r="X226" s="29">
        <v>53856</v>
      </c>
      <c r="Y226" s="24" t="s">
        <v>215</v>
      </c>
      <c r="Z226" s="24"/>
      <c r="AA226" s="78"/>
      <c r="AB226" s="78"/>
      <c r="AC226" s="7">
        <v>45499</v>
      </c>
      <c r="AD226" s="43"/>
      <c r="AE226" s="71">
        <v>45502</v>
      </c>
      <c r="AF226" s="15"/>
      <c r="AG226" s="15"/>
      <c r="AH226" s="15"/>
      <c r="AI226" s="15"/>
      <c r="AJ226" s="15"/>
      <c r="AK226" s="15"/>
      <c r="AL226" s="15"/>
      <c r="AM226" s="15"/>
      <c r="AN226" s="15"/>
      <c r="AO226" s="15"/>
      <c r="AP226" s="15"/>
      <c r="AQ226" s="15"/>
      <c r="AR226" s="15"/>
      <c r="AS226" s="15"/>
      <c r="AT226" s="15"/>
    </row>
    <row r="227" spans="1:46" s="30" customFormat="1" ht="18" hidden="1" customHeight="1" x14ac:dyDescent="0.25">
      <c r="A227" s="21" t="s">
        <v>251</v>
      </c>
      <c r="B227" s="22">
        <v>26678</v>
      </c>
      <c r="C227" s="23">
        <v>40000</v>
      </c>
      <c r="D227" s="22" t="s">
        <v>249</v>
      </c>
      <c r="E227" s="22" t="s">
        <v>830</v>
      </c>
      <c r="F227" s="22"/>
      <c r="G227" s="22"/>
      <c r="H227" s="24" t="s">
        <v>164</v>
      </c>
      <c r="I227" s="24" t="s">
        <v>253</v>
      </c>
      <c r="J227" s="24" t="s">
        <v>62</v>
      </c>
      <c r="K227" s="24"/>
      <c r="L227" s="25">
        <v>45499</v>
      </c>
      <c r="M227" s="25"/>
      <c r="N227" s="22" t="s">
        <v>357</v>
      </c>
      <c r="O227" s="26">
        <v>6650</v>
      </c>
      <c r="P227" s="22" t="s">
        <v>80</v>
      </c>
      <c r="Q227" s="27">
        <f t="shared" si="8"/>
        <v>0.16625000000000001</v>
      </c>
      <c r="R227" s="217"/>
      <c r="S227" s="27"/>
      <c r="T227" s="24"/>
      <c r="U227" s="28" t="s">
        <v>66</v>
      </c>
      <c r="V227" s="25">
        <v>45506</v>
      </c>
      <c r="W227" s="24" t="s">
        <v>45</v>
      </c>
      <c r="X227" s="29">
        <v>83600</v>
      </c>
      <c r="Y227" s="24" t="s">
        <v>215</v>
      </c>
      <c r="Z227" s="24"/>
      <c r="AA227" s="78"/>
      <c r="AB227" s="78"/>
      <c r="AC227" s="7">
        <v>45503</v>
      </c>
      <c r="AD227" s="43" t="s">
        <v>831</v>
      </c>
      <c r="AE227" s="71">
        <v>45504</v>
      </c>
      <c r="AF227" s="15"/>
      <c r="AG227" s="15"/>
      <c r="AH227" s="15"/>
      <c r="AI227" s="15"/>
      <c r="AJ227" s="15"/>
      <c r="AK227" s="15"/>
      <c r="AL227" s="15"/>
      <c r="AM227" s="15"/>
      <c r="AN227" s="15"/>
      <c r="AO227" s="15"/>
      <c r="AP227" s="15"/>
      <c r="AQ227" s="15"/>
      <c r="AR227" s="15"/>
      <c r="AS227" s="15"/>
      <c r="AT227" s="15"/>
    </row>
    <row r="228" spans="1:46" s="30" customFormat="1" ht="18" hidden="1" x14ac:dyDescent="0.25">
      <c r="A228" s="21" t="s">
        <v>682</v>
      </c>
      <c r="B228" s="22">
        <v>26558</v>
      </c>
      <c r="C228" s="23">
        <f>30*1000</f>
        <v>30000</v>
      </c>
      <c r="D228" s="22">
        <v>15</v>
      </c>
      <c r="E228" s="22" t="s">
        <v>380</v>
      </c>
      <c r="F228" s="22"/>
      <c r="G228" s="22"/>
      <c r="H228" s="24" t="s">
        <v>37</v>
      </c>
      <c r="I228" s="24" t="s">
        <v>832</v>
      </c>
      <c r="J228" s="24" t="s">
        <v>62</v>
      </c>
      <c r="K228" s="24"/>
      <c r="L228" s="25">
        <v>45499</v>
      </c>
      <c r="M228" s="25"/>
      <c r="N228" s="22" t="s">
        <v>39</v>
      </c>
      <c r="O228" s="26">
        <v>4870</v>
      </c>
      <c r="P228" s="22" t="s">
        <v>80</v>
      </c>
      <c r="Q228" s="27">
        <f t="shared" si="8"/>
        <v>0.16233333333333333</v>
      </c>
      <c r="R228" s="217"/>
      <c r="S228" s="27"/>
      <c r="T228" s="24"/>
      <c r="U228" s="28" t="s">
        <v>66</v>
      </c>
      <c r="V228" s="25">
        <v>45506</v>
      </c>
      <c r="W228" s="24" t="s">
        <v>45</v>
      </c>
      <c r="X228" s="29">
        <v>215040</v>
      </c>
      <c r="Y228" s="24" t="s">
        <v>215</v>
      </c>
      <c r="Z228" s="24"/>
      <c r="AA228" s="78"/>
      <c r="AB228" s="78"/>
      <c r="AC228" s="7">
        <v>45505</v>
      </c>
      <c r="AD228" s="38"/>
      <c r="AE228" s="71">
        <v>45504</v>
      </c>
      <c r="AF228" s="15"/>
      <c r="AG228" s="15"/>
      <c r="AH228" s="15"/>
      <c r="AI228" s="15"/>
      <c r="AJ228" s="15"/>
      <c r="AK228" s="15"/>
      <c r="AL228" s="15"/>
      <c r="AM228" s="15"/>
      <c r="AN228" s="15"/>
      <c r="AO228" s="15"/>
      <c r="AP228" s="15"/>
      <c r="AQ228" s="15"/>
      <c r="AR228" s="15"/>
      <c r="AS228" s="15"/>
      <c r="AT228" s="15"/>
    </row>
    <row r="229" spans="1:46" s="15" customFormat="1" ht="18" hidden="1" x14ac:dyDescent="0.25">
      <c r="A229" s="209" t="s">
        <v>364</v>
      </c>
      <c r="B229" s="6">
        <v>26524</v>
      </c>
      <c r="C229" s="5">
        <v>55113</v>
      </c>
      <c r="D229" s="6" t="s">
        <v>48</v>
      </c>
      <c r="E229" s="6" t="s">
        <v>833</v>
      </c>
      <c r="F229" s="6" t="s">
        <v>834</v>
      </c>
      <c r="G229" s="6" t="s">
        <v>36</v>
      </c>
      <c r="H229" s="6" t="s">
        <v>51</v>
      </c>
      <c r="I229" s="6"/>
      <c r="J229" s="6" t="s">
        <v>75</v>
      </c>
      <c r="K229" s="6"/>
      <c r="L229" s="7">
        <v>45455</v>
      </c>
      <c r="M229" s="7"/>
      <c r="N229" s="73" t="s">
        <v>40</v>
      </c>
      <c r="O229" s="13">
        <v>575</v>
      </c>
      <c r="P229" s="6" t="s">
        <v>80</v>
      </c>
      <c r="Q229" s="41">
        <f t="shared" si="8"/>
        <v>1.0433110155498703E-2</v>
      </c>
      <c r="R229" s="7">
        <v>45493</v>
      </c>
      <c r="S229" s="41" t="s">
        <v>65</v>
      </c>
      <c r="T229" s="7">
        <v>45507</v>
      </c>
      <c r="U229" s="17" t="s">
        <v>76</v>
      </c>
      <c r="V229" s="7">
        <v>45509</v>
      </c>
      <c r="W229" s="11" t="s">
        <v>45</v>
      </c>
      <c r="X229" s="114">
        <v>79522</v>
      </c>
      <c r="Y229" s="11" t="s">
        <v>341</v>
      </c>
      <c r="Z229" s="11"/>
      <c r="AA229" s="78"/>
      <c r="AB229" s="7">
        <v>45499</v>
      </c>
      <c r="AC229" s="7">
        <v>45508</v>
      </c>
      <c r="AD229" s="38"/>
      <c r="AE229" s="71">
        <v>45513</v>
      </c>
    </row>
    <row r="230" spans="1:46" s="15" customFormat="1" ht="18" hidden="1" x14ac:dyDescent="0.25">
      <c r="A230" s="209" t="s">
        <v>835</v>
      </c>
      <c r="B230" s="6">
        <v>26367</v>
      </c>
      <c r="C230" s="5">
        <v>55000</v>
      </c>
      <c r="D230" s="6" t="s">
        <v>33</v>
      </c>
      <c r="E230" s="6" t="s">
        <v>836</v>
      </c>
      <c r="F230" s="6" t="s">
        <v>837</v>
      </c>
      <c r="G230" s="6" t="s">
        <v>687</v>
      </c>
      <c r="H230" s="6" t="s">
        <v>109</v>
      </c>
      <c r="I230" s="6"/>
      <c r="J230" s="6" t="s">
        <v>52</v>
      </c>
      <c r="K230" s="6"/>
      <c r="L230" s="7">
        <v>45451</v>
      </c>
      <c r="M230" s="7"/>
      <c r="N230" s="73" t="s">
        <v>40</v>
      </c>
      <c r="O230" s="13">
        <v>575</v>
      </c>
      <c r="P230" s="6" t="s">
        <v>80</v>
      </c>
      <c r="Q230" s="19">
        <f t="shared" si="8"/>
        <v>1.0454545454545454E-2</v>
      </c>
      <c r="R230" s="220"/>
      <c r="S230" s="41"/>
      <c r="T230" s="7">
        <v>45504</v>
      </c>
      <c r="U230" s="17" t="s">
        <v>43</v>
      </c>
      <c r="V230" s="7">
        <v>45509</v>
      </c>
      <c r="W230" s="11" t="s">
        <v>45</v>
      </c>
      <c r="X230" s="114">
        <v>61065</v>
      </c>
      <c r="Y230" s="11" t="s">
        <v>68</v>
      </c>
      <c r="Z230" s="11"/>
      <c r="AA230" s="7">
        <v>45506</v>
      </c>
      <c r="AB230" s="7">
        <v>45506</v>
      </c>
      <c r="AC230" s="7">
        <v>45504</v>
      </c>
      <c r="AD230" s="40"/>
      <c r="AE230" s="71">
        <v>45513</v>
      </c>
    </row>
    <row r="231" spans="1:46" s="30" customFormat="1" ht="18" hidden="1" customHeight="1" x14ac:dyDescent="0.25">
      <c r="A231" s="210" t="s">
        <v>677</v>
      </c>
      <c r="B231" s="31">
        <v>26656</v>
      </c>
      <c r="C231" s="32">
        <v>40000</v>
      </c>
      <c r="D231" s="31" t="s">
        <v>249</v>
      </c>
      <c r="E231" s="31" t="s">
        <v>444</v>
      </c>
      <c r="F231" s="31"/>
      <c r="G231" s="31"/>
      <c r="H231" s="33" t="s">
        <v>164</v>
      </c>
      <c r="I231" s="33" t="s">
        <v>838</v>
      </c>
      <c r="J231" s="33" t="s">
        <v>62</v>
      </c>
      <c r="K231" s="33"/>
      <c r="L231" s="102">
        <v>45502</v>
      </c>
      <c r="M231" s="34"/>
      <c r="N231" s="31" t="s">
        <v>791</v>
      </c>
      <c r="O231" s="35">
        <v>6450</v>
      </c>
      <c r="P231" s="31" t="s">
        <v>80</v>
      </c>
      <c r="Q231" s="49">
        <f t="shared" si="8"/>
        <v>0.16125</v>
      </c>
      <c r="R231" s="238"/>
      <c r="S231" s="49"/>
      <c r="T231" s="33"/>
      <c r="U231" s="42" t="s">
        <v>66</v>
      </c>
      <c r="V231" s="34">
        <v>45509</v>
      </c>
      <c r="W231" s="33" t="s">
        <v>839</v>
      </c>
      <c r="X231" s="50">
        <v>172000</v>
      </c>
      <c r="Y231" s="33" t="s">
        <v>215</v>
      </c>
      <c r="Z231" s="33"/>
      <c r="AA231" s="78"/>
      <c r="AB231" s="78"/>
      <c r="AC231" s="7">
        <v>45505</v>
      </c>
      <c r="AD231" s="38"/>
      <c r="AE231" s="7">
        <v>45505</v>
      </c>
      <c r="AF231" s="15"/>
      <c r="AG231" s="15"/>
      <c r="AH231" s="15"/>
      <c r="AI231" s="15"/>
      <c r="AJ231" s="15"/>
      <c r="AK231" s="15"/>
      <c r="AL231" s="15"/>
      <c r="AM231" s="15"/>
      <c r="AN231" s="15"/>
      <c r="AO231" s="15"/>
      <c r="AP231" s="15"/>
      <c r="AQ231" s="15"/>
      <c r="AR231" s="15"/>
      <c r="AS231" s="15"/>
      <c r="AT231" s="15"/>
    </row>
    <row r="232" spans="1:46" s="30" customFormat="1" ht="18" hidden="1" x14ac:dyDescent="0.25">
      <c r="A232" s="21" t="s">
        <v>840</v>
      </c>
      <c r="B232" s="22">
        <v>26605</v>
      </c>
      <c r="C232" s="23">
        <v>44792</v>
      </c>
      <c r="D232" s="22" t="s">
        <v>249</v>
      </c>
      <c r="E232" s="22" t="s">
        <v>841</v>
      </c>
      <c r="F232" s="22"/>
      <c r="G232" s="22"/>
      <c r="H232" s="22" t="s">
        <v>60</v>
      </c>
      <c r="I232" s="24"/>
      <c r="J232" s="24" t="s">
        <v>53</v>
      </c>
      <c r="K232" s="24"/>
      <c r="L232" s="255">
        <v>45502</v>
      </c>
      <c r="M232" s="25"/>
      <c r="N232" s="22"/>
      <c r="O232" s="26">
        <v>0</v>
      </c>
      <c r="P232" s="22"/>
      <c r="Q232" s="27"/>
      <c r="R232" s="217"/>
      <c r="S232" s="27"/>
      <c r="T232" s="91">
        <v>45509</v>
      </c>
      <c r="U232" s="28" t="s">
        <v>66</v>
      </c>
      <c r="V232" s="25">
        <v>45509</v>
      </c>
      <c r="W232" s="24" t="s">
        <v>358</v>
      </c>
      <c r="X232" s="29">
        <v>98338</v>
      </c>
      <c r="Y232" s="24" t="s">
        <v>215</v>
      </c>
      <c r="Z232" s="24"/>
      <c r="AA232" s="78"/>
      <c r="AB232" s="78"/>
      <c r="AC232" s="78"/>
      <c r="AD232" s="6"/>
      <c r="AE232" s="7" t="s">
        <v>378</v>
      </c>
      <c r="AF232" s="15"/>
      <c r="AG232" s="15"/>
      <c r="AH232" s="15"/>
      <c r="AI232" s="15"/>
      <c r="AJ232" s="15"/>
      <c r="AK232" s="15"/>
      <c r="AL232" s="15"/>
      <c r="AM232" s="15"/>
      <c r="AN232" s="15"/>
      <c r="AO232" s="15"/>
      <c r="AP232" s="15"/>
      <c r="AQ232" s="15"/>
      <c r="AR232" s="15"/>
      <c r="AS232" s="15"/>
      <c r="AT232" s="15"/>
    </row>
    <row r="233" spans="1:46" s="30" customFormat="1" ht="18" hidden="1" x14ac:dyDescent="0.25">
      <c r="A233" s="21" t="s">
        <v>254</v>
      </c>
      <c r="B233" s="22">
        <v>26880</v>
      </c>
      <c r="C233" s="246">
        <v>38475</v>
      </c>
      <c r="D233" s="22" t="s">
        <v>249</v>
      </c>
      <c r="E233" s="22" t="s">
        <v>740</v>
      </c>
      <c r="F233" s="22"/>
      <c r="G233" s="22"/>
      <c r="H233" s="24" t="s">
        <v>37</v>
      </c>
      <c r="I233" s="24" t="s">
        <v>741</v>
      </c>
      <c r="J233" s="24" t="s">
        <v>62</v>
      </c>
      <c r="K233" s="24"/>
      <c r="L233" s="25">
        <v>45504</v>
      </c>
      <c r="M233" s="25"/>
      <c r="N233" s="22" t="s">
        <v>357</v>
      </c>
      <c r="O233" s="247">
        <v>2200</v>
      </c>
      <c r="P233" s="22" t="s">
        <v>80</v>
      </c>
      <c r="Q233" s="27">
        <f>+O233/C233</f>
        <v>5.7179987004548405E-2</v>
      </c>
      <c r="R233" s="217"/>
      <c r="S233" s="27"/>
      <c r="T233" s="25">
        <v>45506</v>
      </c>
      <c r="U233" s="28" t="s">
        <v>66</v>
      </c>
      <c r="V233" s="25">
        <v>45509</v>
      </c>
      <c r="W233" s="24" t="s">
        <v>45</v>
      </c>
      <c r="X233" s="248">
        <v>66305</v>
      </c>
      <c r="Y233" s="24" t="s">
        <v>215</v>
      </c>
      <c r="Z233" s="24"/>
      <c r="AA233" s="78"/>
      <c r="AB233" s="78"/>
      <c r="AC233" s="7">
        <v>45505</v>
      </c>
      <c r="AD233" s="38"/>
      <c r="AE233" s="71">
        <v>45510</v>
      </c>
      <c r="AF233" s="15"/>
      <c r="AG233" s="15"/>
      <c r="AH233" s="15"/>
      <c r="AI233" s="15"/>
      <c r="AJ233" s="15"/>
      <c r="AK233" s="15"/>
      <c r="AL233" s="15"/>
      <c r="AM233" s="15"/>
      <c r="AN233" s="15"/>
      <c r="AO233" s="15"/>
      <c r="AP233" s="15"/>
      <c r="AQ233" s="15"/>
      <c r="AR233" s="15"/>
      <c r="AS233" s="15"/>
      <c r="AT233" s="15"/>
    </row>
    <row r="234" spans="1:46" s="3" customFormat="1" ht="39" hidden="1" customHeight="1" x14ac:dyDescent="0.25">
      <c r="A234" s="209" t="s">
        <v>625</v>
      </c>
      <c r="B234" s="6">
        <v>26179</v>
      </c>
      <c r="C234" s="249">
        <v>34250</v>
      </c>
      <c r="D234" s="167" t="s">
        <v>105</v>
      </c>
      <c r="E234" s="234" t="s">
        <v>842</v>
      </c>
      <c r="F234" s="67" t="s">
        <v>843</v>
      </c>
      <c r="G234" s="6" t="s">
        <v>108</v>
      </c>
      <c r="H234" s="162" t="s">
        <v>37</v>
      </c>
      <c r="I234" s="162" t="s">
        <v>844</v>
      </c>
      <c r="J234" s="162" t="s">
        <v>628</v>
      </c>
      <c r="K234" s="162"/>
      <c r="L234" s="7">
        <v>45419</v>
      </c>
      <c r="N234" s="6" t="s">
        <v>40</v>
      </c>
      <c r="O234" s="13">
        <v>575</v>
      </c>
      <c r="P234" s="6" t="s">
        <v>80</v>
      </c>
      <c r="Q234" s="41">
        <f>+O234/C234</f>
        <v>1.6788321167883213E-2</v>
      </c>
      <c r="S234" s="41"/>
      <c r="T234" s="7">
        <v>45505</v>
      </c>
      <c r="U234" s="46" t="s">
        <v>43</v>
      </c>
      <c r="V234" s="7">
        <v>45509</v>
      </c>
      <c r="W234" s="11" t="s">
        <v>45</v>
      </c>
      <c r="X234" s="114">
        <v>83257</v>
      </c>
      <c r="Y234" s="70" t="s">
        <v>341</v>
      </c>
      <c r="Z234" s="70"/>
      <c r="AA234" s="78"/>
      <c r="AB234" s="7">
        <v>45503</v>
      </c>
      <c r="AC234" s="7">
        <v>45506</v>
      </c>
      <c r="AE234" s="71">
        <v>45513</v>
      </c>
      <c r="AF234" s="208"/>
      <c r="AG234" s="208"/>
      <c r="AH234" s="208"/>
      <c r="AI234" s="208"/>
      <c r="AJ234" s="208"/>
      <c r="AK234" s="208"/>
      <c r="AL234" s="208"/>
      <c r="AM234" s="208"/>
      <c r="AN234" s="208"/>
      <c r="AO234" s="208"/>
      <c r="AP234" s="208"/>
    </row>
    <row r="235" spans="1:46" s="30" customFormat="1" ht="18" hidden="1" customHeight="1" x14ac:dyDescent="0.25">
      <c r="A235" s="109" t="s">
        <v>251</v>
      </c>
      <c r="B235" s="22">
        <v>27049</v>
      </c>
      <c r="C235" s="23">
        <v>40500</v>
      </c>
      <c r="D235" s="22" t="s">
        <v>249</v>
      </c>
      <c r="E235" s="22" t="s">
        <v>421</v>
      </c>
      <c r="F235" s="22"/>
      <c r="G235" s="22"/>
      <c r="H235" s="24" t="s">
        <v>37</v>
      </c>
      <c r="I235" s="24" t="s">
        <v>253</v>
      </c>
      <c r="J235" s="24" t="s">
        <v>62</v>
      </c>
      <c r="K235" s="24"/>
      <c r="L235" s="25">
        <v>45504</v>
      </c>
      <c r="M235" s="25"/>
      <c r="N235" s="22" t="s">
        <v>791</v>
      </c>
      <c r="O235" s="26">
        <v>6450</v>
      </c>
      <c r="P235" s="22" t="s">
        <v>80</v>
      </c>
      <c r="Q235" s="27">
        <f>+O235/C235</f>
        <v>0.15925925925925927</v>
      </c>
      <c r="R235" s="217"/>
      <c r="S235" s="27"/>
      <c r="T235" s="24"/>
      <c r="U235" s="28" t="s">
        <v>66</v>
      </c>
      <c r="V235" s="25">
        <v>45510</v>
      </c>
      <c r="W235" s="24" t="s">
        <v>45</v>
      </c>
      <c r="X235" s="29">
        <v>111375</v>
      </c>
      <c r="Y235" s="24" t="s">
        <v>79</v>
      </c>
      <c r="Z235" s="24"/>
      <c r="AA235" s="78"/>
      <c r="AB235" s="78"/>
      <c r="AC235" s="7">
        <v>45507</v>
      </c>
      <c r="AD235" s="43"/>
      <c r="AE235" s="71">
        <v>45510</v>
      </c>
      <c r="AF235" s="15"/>
      <c r="AG235" s="15"/>
      <c r="AH235" s="15"/>
      <c r="AI235" s="15"/>
      <c r="AJ235" s="15"/>
      <c r="AK235" s="15"/>
      <c r="AL235" s="15"/>
      <c r="AM235" s="15"/>
      <c r="AN235" s="15"/>
      <c r="AO235" s="15"/>
      <c r="AP235" s="15"/>
      <c r="AQ235" s="15"/>
      <c r="AR235" s="15"/>
      <c r="AS235" s="15"/>
      <c r="AT235" s="15"/>
    </row>
    <row r="236" spans="1:46" s="30" customFormat="1" ht="18" hidden="1" customHeight="1" x14ac:dyDescent="0.25">
      <c r="A236" s="109" t="s">
        <v>845</v>
      </c>
      <c r="B236" s="22">
        <v>27088</v>
      </c>
      <c r="C236" s="260">
        <v>44000</v>
      </c>
      <c r="D236" s="256" t="s">
        <v>249</v>
      </c>
      <c r="E236" s="22" t="s">
        <v>336</v>
      </c>
      <c r="F236" s="22"/>
      <c r="G236" s="22"/>
      <c r="H236" s="261" t="s">
        <v>37</v>
      </c>
      <c r="I236" s="24"/>
      <c r="J236" s="24" t="s">
        <v>53</v>
      </c>
      <c r="K236" s="24"/>
      <c r="L236" s="255">
        <v>45510</v>
      </c>
      <c r="M236" s="25"/>
      <c r="N236" s="22" t="s">
        <v>45</v>
      </c>
      <c r="O236" s="26"/>
      <c r="P236" s="22"/>
      <c r="Q236" s="27"/>
      <c r="R236" s="217"/>
      <c r="S236" s="27"/>
      <c r="T236" s="24"/>
      <c r="U236" s="28" t="s">
        <v>66</v>
      </c>
      <c r="V236" s="25">
        <v>45510</v>
      </c>
      <c r="W236" s="24" t="s">
        <v>45</v>
      </c>
      <c r="X236" s="29">
        <v>182600</v>
      </c>
      <c r="Y236" s="24" t="s">
        <v>79</v>
      </c>
      <c r="Z236" s="24"/>
      <c r="AA236" s="78"/>
      <c r="AB236" s="78"/>
      <c r="AC236" s="78"/>
      <c r="AD236" s="43"/>
      <c r="AE236" s="71" t="s">
        <v>378</v>
      </c>
      <c r="AF236" s="15"/>
      <c r="AG236" s="15"/>
      <c r="AH236" s="15"/>
      <c r="AI236" s="15"/>
      <c r="AJ236" s="15"/>
      <c r="AK236" s="15"/>
      <c r="AL236" s="15"/>
      <c r="AM236" s="15"/>
      <c r="AN236" s="15"/>
      <c r="AO236" s="15"/>
      <c r="AP236" s="15"/>
      <c r="AQ236" s="15"/>
      <c r="AR236" s="15"/>
      <c r="AS236" s="15"/>
      <c r="AT236" s="15"/>
    </row>
    <row r="237" spans="1:46" s="3" customFormat="1" ht="18" hidden="1" x14ac:dyDescent="0.25">
      <c r="A237" s="309" t="s">
        <v>846</v>
      </c>
      <c r="B237" s="159">
        <v>26217</v>
      </c>
      <c r="C237" s="249">
        <v>44092</v>
      </c>
      <c r="D237" s="167" t="s">
        <v>48</v>
      </c>
      <c r="E237" s="159" t="s">
        <v>847</v>
      </c>
      <c r="F237" s="4" t="s">
        <v>848</v>
      </c>
      <c r="G237" s="4" t="s">
        <v>36</v>
      </c>
      <c r="H237" s="167" t="s">
        <v>51</v>
      </c>
      <c r="I237" s="162" t="s">
        <v>849</v>
      </c>
      <c r="J237" s="162" t="s">
        <v>850</v>
      </c>
      <c r="K237" s="162"/>
      <c r="L237" s="7">
        <v>45450</v>
      </c>
      <c r="N237" s="6" t="s">
        <v>40</v>
      </c>
      <c r="O237" s="250">
        <v>575</v>
      </c>
      <c r="P237" s="6" t="s">
        <v>80</v>
      </c>
      <c r="T237" s="7">
        <v>45505</v>
      </c>
      <c r="U237" s="67" t="s">
        <v>43</v>
      </c>
      <c r="V237" s="7">
        <v>45511</v>
      </c>
      <c r="W237" s="10" t="s">
        <v>503</v>
      </c>
      <c r="X237" s="114">
        <v>39800</v>
      </c>
      <c r="Y237" s="11" t="s">
        <v>341</v>
      </c>
      <c r="Z237" s="11"/>
      <c r="AA237" s="78"/>
      <c r="AB237" s="7">
        <v>45510</v>
      </c>
      <c r="AC237" s="7">
        <v>45506</v>
      </c>
      <c r="AE237" s="71">
        <v>45513</v>
      </c>
      <c r="AF237" s="208"/>
      <c r="AG237" s="208"/>
      <c r="AH237" s="208"/>
      <c r="AI237" s="208"/>
      <c r="AJ237" s="208"/>
      <c r="AK237" s="208"/>
      <c r="AL237" s="208"/>
      <c r="AM237" s="208"/>
      <c r="AN237" s="208"/>
      <c r="AO237" s="208"/>
      <c r="AP237" s="208"/>
    </row>
    <row r="238" spans="1:46" s="3" customFormat="1" ht="18" hidden="1" x14ac:dyDescent="0.25">
      <c r="A238" s="309" t="s">
        <v>846</v>
      </c>
      <c r="B238" s="159">
        <v>26243</v>
      </c>
      <c r="C238" s="249">
        <v>44092</v>
      </c>
      <c r="D238" s="167" t="s">
        <v>48</v>
      </c>
      <c r="E238" s="159" t="s">
        <v>847</v>
      </c>
      <c r="F238" s="4" t="s">
        <v>851</v>
      </c>
      <c r="G238" s="4" t="s">
        <v>36</v>
      </c>
      <c r="H238" s="167" t="s">
        <v>51</v>
      </c>
      <c r="I238" s="162" t="s">
        <v>849</v>
      </c>
      <c r="J238" s="162" t="s">
        <v>850</v>
      </c>
      <c r="K238" s="162"/>
      <c r="L238" s="7">
        <v>45450</v>
      </c>
      <c r="N238" s="6" t="s">
        <v>40</v>
      </c>
      <c r="O238" s="250">
        <v>575</v>
      </c>
      <c r="P238" s="6" t="s">
        <v>80</v>
      </c>
      <c r="T238" s="7">
        <v>45505</v>
      </c>
      <c r="U238" s="67" t="s">
        <v>43</v>
      </c>
      <c r="V238" s="7">
        <v>45511</v>
      </c>
      <c r="W238" s="10" t="s">
        <v>503</v>
      </c>
      <c r="X238" s="114">
        <v>39800</v>
      </c>
      <c r="Y238" s="11" t="s">
        <v>341</v>
      </c>
      <c r="Z238" s="11"/>
      <c r="AA238" s="78"/>
      <c r="AB238" s="7">
        <v>45510</v>
      </c>
      <c r="AC238" s="7">
        <v>45506</v>
      </c>
      <c r="AE238" s="71">
        <v>45513</v>
      </c>
      <c r="AF238" s="208"/>
      <c r="AG238" s="208"/>
      <c r="AH238" s="208"/>
      <c r="AI238" s="208"/>
      <c r="AJ238" s="208"/>
      <c r="AK238" s="208"/>
      <c r="AL238" s="208"/>
      <c r="AM238" s="208"/>
      <c r="AN238" s="208"/>
      <c r="AO238" s="208"/>
      <c r="AP238" s="208"/>
    </row>
    <row r="239" spans="1:46" s="30" customFormat="1" ht="18" hidden="1" x14ac:dyDescent="0.25">
      <c r="A239" s="210" t="s">
        <v>200</v>
      </c>
      <c r="B239" s="31">
        <v>26247</v>
      </c>
      <c r="C239" s="32">
        <v>36500</v>
      </c>
      <c r="D239" s="31" t="s">
        <v>105</v>
      </c>
      <c r="E239" s="31" t="s">
        <v>852</v>
      </c>
      <c r="F239" s="100" t="s">
        <v>853</v>
      </c>
      <c r="G239" s="100" t="s">
        <v>36</v>
      </c>
      <c r="H239" s="33" t="s">
        <v>37</v>
      </c>
      <c r="I239" s="33" t="s">
        <v>281</v>
      </c>
      <c r="J239" s="33" t="s">
        <v>120</v>
      </c>
      <c r="K239" s="33"/>
      <c r="L239" s="102">
        <v>45440</v>
      </c>
      <c r="M239" s="34" t="s">
        <v>414</v>
      </c>
      <c r="N239" s="31" t="s">
        <v>40</v>
      </c>
      <c r="O239" s="35">
        <f>5560+400</f>
        <v>5960</v>
      </c>
      <c r="P239" s="31" t="s">
        <v>41</v>
      </c>
      <c r="Q239" s="49">
        <f>+O239/C239</f>
        <v>0.16328767123287671</v>
      </c>
      <c r="R239" s="238"/>
      <c r="S239" s="49"/>
      <c r="T239" s="34">
        <v>45509</v>
      </c>
      <c r="U239" s="42" t="s">
        <v>43</v>
      </c>
      <c r="V239" s="34">
        <v>45511</v>
      </c>
      <c r="W239" s="33" t="s">
        <v>45</v>
      </c>
      <c r="X239" s="50">
        <v>108040</v>
      </c>
      <c r="Y239" s="33" t="s">
        <v>215</v>
      </c>
      <c r="Z239" s="33"/>
      <c r="AA239" s="78"/>
      <c r="AB239" s="7">
        <v>45506</v>
      </c>
      <c r="AC239" s="7">
        <v>45509</v>
      </c>
      <c r="AD239" s="38"/>
      <c r="AE239" s="71">
        <v>45511</v>
      </c>
      <c r="AF239" s="15"/>
      <c r="AG239" s="15"/>
      <c r="AH239" s="15"/>
      <c r="AI239" s="15"/>
      <c r="AJ239" s="15"/>
      <c r="AK239" s="15"/>
      <c r="AL239" s="15"/>
      <c r="AM239" s="15"/>
      <c r="AN239" s="15"/>
      <c r="AO239" s="15"/>
      <c r="AP239" s="15"/>
      <c r="AQ239" s="15"/>
      <c r="AR239" s="15"/>
      <c r="AS239" s="15"/>
      <c r="AT239" s="15"/>
    </row>
    <row r="240" spans="1:46" s="15" customFormat="1" ht="18" hidden="1" x14ac:dyDescent="0.25">
      <c r="A240" s="209" t="s">
        <v>367</v>
      </c>
      <c r="B240" s="159">
        <v>26497</v>
      </c>
      <c r="C240" s="44">
        <f>200*55</f>
        <v>11000</v>
      </c>
      <c r="D240" s="881" t="s">
        <v>48</v>
      </c>
      <c r="E240" s="254" t="s">
        <v>854</v>
      </c>
      <c r="F240" s="6" t="s">
        <v>855</v>
      </c>
      <c r="G240" s="6" t="s">
        <v>130</v>
      </c>
      <c r="H240" s="167" t="s">
        <v>51</v>
      </c>
      <c r="I240" s="162" t="s">
        <v>52</v>
      </c>
      <c r="J240" s="162" t="s">
        <v>53</v>
      </c>
      <c r="K240" s="375"/>
      <c r="L240" s="65">
        <v>45473</v>
      </c>
      <c r="M240" s="3"/>
      <c r="N240" s="6" t="s">
        <v>40</v>
      </c>
      <c r="O240" s="250">
        <v>575</v>
      </c>
      <c r="P240" s="6" t="s">
        <v>80</v>
      </c>
      <c r="Q240" s="41"/>
      <c r="R240" s="7">
        <v>45498</v>
      </c>
      <c r="S240" s="41" t="s">
        <v>65</v>
      </c>
      <c r="T240" s="7">
        <v>45509</v>
      </c>
      <c r="U240" s="46" t="s">
        <v>178</v>
      </c>
      <c r="V240" s="7">
        <v>45511</v>
      </c>
      <c r="W240" s="10" t="s">
        <v>45</v>
      </c>
      <c r="X240" s="114">
        <v>17500</v>
      </c>
      <c r="Y240" s="11" t="s">
        <v>341</v>
      </c>
      <c r="Z240" s="11"/>
      <c r="AA240" s="78"/>
      <c r="AB240" s="7">
        <v>45511</v>
      </c>
      <c r="AC240" s="7">
        <v>45509</v>
      </c>
      <c r="AD240" s="38"/>
      <c r="AE240" s="71">
        <v>45513</v>
      </c>
    </row>
    <row r="241" spans="1:46" s="15" customFormat="1" ht="18" hidden="1" x14ac:dyDescent="0.25">
      <c r="A241" s="209" t="s">
        <v>856</v>
      </c>
      <c r="B241" s="159">
        <v>26498</v>
      </c>
      <c r="C241" s="44">
        <f>250*55</f>
        <v>13750</v>
      </c>
      <c r="D241" s="883"/>
      <c r="E241" s="254" t="s">
        <v>857</v>
      </c>
      <c r="F241" s="6" t="s">
        <v>855</v>
      </c>
      <c r="G241" s="6" t="s">
        <v>130</v>
      </c>
      <c r="H241" s="167" t="s">
        <v>51</v>
      </c>
      <c r="I241" s="162" t="s">
        <v>52</v>
      </c>
      <c r="J241" s="162" t="s">
        <v>53</v>
      </c>
      <c r="K241" s="375"/>
      <c r="L241" s="65">
        <v>45473</v>
      </c>
      <c r="M241" s="3"/>
      <c r="N241" s="6"/>
      <c r="O241" s="250"/>
      <c r="P241" s="6"/>
      <c r="Q241" s="41"/>
      <c r="R241" s="7">
        <v>45498</v>
      </c>
      <c r="S241" s="41" t="s">
        <v>65</v>
      </c>
      <c r="T241" s="7">
        <v>45509</v>
      </c>
      <c r="U241" s="46" t="s">
        <v>178</v>
      </c>
      <c r="V241" s="7">
        <v>45511</v>
      </c>
      <c r="W241" s="10" t="s">
        <v>45</v>
      </c>
      <c r="X241" s="114">
        <v>111875</v>
      </c>
      <c r="Y241" s="11" t="s">
        <v>341</v>
      </c>
      <c r="Z241" s="11"/>
      <c r="AA241" s="78"/>
      <c r="AB241" s="7">
        <v>45511</v>
      </c>
      <c r="AC241" s="7">
        <v>45509</v>
      </c>
      <c r="AD241" s="38"/>
      <c r="AE241" s="71">
        <v>45513</v>
      </c>
    </row>
    <row r="242" spans="1:46" s="15" customFormat="1" ht="18" hidden="1" x14ac:dyDescent="0.25">
      <c r="A242" s="209" t="s">
        <v>207</v>
      </c>
      <c r="B242" s="159">
        <v>26499</v>
      </c>
      <c r="C242" s="44">
        <f>55*550</f>
        <v>30250</v>
      </c>
      <c r="D242" s="882"/>
      <c r="E242" s="254" t="s">
        <v>858</v>
      </c>
      <c r="F242" s="6" t="s">
        <v>855</v>
      </c>
      <c r="G242" s="6" t="s">
        <v>130</v>
      </c>
      <c r="H242" s="167" t="s">
        <v>51</v>
      </c>
      <c r="I242" s="162" t="s">
        <v>52</v>
      </c>
      <c r="J242" s="162" t="s">
        <v>53</v>
      </c>
      <c r="K242" s="375"/>
      <c r="L242" s="65">
        <v>45473</v>
      </c>
      <c r="M242" s="3"/>
      <c r="N242" s="6"/>
      <c r="O242" s="250"/>
      <c r="P242" s="6"/>
      <c r="Q242" s="41"/>
      <c r="R242" s="7">
        <v>45498</v>
      </c>
      <c r="S242" s="41" t="s">
        <v>65</v>
      </c>
      <c r="T242" s="7">
        <v>45509</v>
      </c>
      <c r="U242" s="46" t="s">
        <v>178</v>
      </c>
      <c r="V242" s="7">
        <v>45511</v>
      </c>
      <c r="W242" s="10" t="s">
        <v>45</v>
      </c>
      <c r="X242" s="114">
        <v>25938</v>
      </c>
      <c r="Y242" s="11" t="s">
        <v>341</v>
      </c>
      <c r="Z242" s="11"/>
      <c r="AA242" s="78"/>
      <c r="AB242" s="7">
        <v>45511</v>
      </c>
      <c r="AC242" s="7">
        <v>45509</v>
      </c>
      <c r="AD242" s="38"/>
      <c r="AE242" s="71">
        <v>45513</v>
      </c>
    </row>
    <row r="243" spans="1:46" s="15" customFormat="1" ht="18" hidden="1" x14ac:dyDescent="0.25">
      <c r="A243" s="317" t="s">
        <v>136</v>
      </c>
      <c r="B243" s="318">
        <v>26354</v>
      </c>
      <c r="C243" s="319">
        <v>20040</v>
      </c>
      <c r="D243" s="318" t="s">
        <v>797</v>
      </c>
      <c r="E243" s="318" t="s">
        <v>859</v>
      </c>
      <c r="F243" s="6" t="s">
        <v>860</v>
      </c>
      <c r="G243" s="318" t="s">
        <v>36</v>
      </c>
      <c r="H243" s="320" t="s">
        <v>37</v>
      </c>
      <c r="I243" s="320" t="s">
        <v>97</v>
      </c>
      <c r="J243" s="320" t="s">
        <v>98</v>
      </c>
      <c r="K243" s="393"/>
      <c r="L243" s="7">
        <v>45459</v>
      </c>
      <c r="M243" s="321" t="s">
        <v>861</v>
      </c>
      <c r="N243" s="322" t="s">
        <v>40</v>
      </c>
      <c r="O243" s="371">
        <f>4800+400</f>
        <v>5200</v>
      </c>
      <c r="P243" s="318" t="s">
        <v>41</v>
      </c>
      <c r="Q243" s="323"/>
      <c r="R243" s="324"/>
      <c r="S243" s="325"/>
      <c r="T243" s="71">
        <v>45507</v>
      </c>
      <c r="U243" s="326" t="s">
        <v>43</v>
      </c>
      <c r="V243" s="7">
        <v>45512</v>
      </c>
      <c r="W243" s="327" t="s">
        <v>45</v>
      </c>
      <c r="X243" s="114">
        <v>92227</v>
      </c>
      <c r="Y243" s="327" t="s">
        <v>68</v>
      </c>
      <c r="Z243" s="47"/>
      <c r="AA243" s="7">
        <v>45510</v>
      </c>
      <c r="AB243" s="7">
        <v>45511</v>
      </c>
      <c r="AC243" s="7">
        <v>45507</v>
      </c>
      <c r="AD243" s="328"/>
      <c r="AE243" s="263">
        <v>45504</v>
      </c>
    </row>
    <row r="244" spans="1:46" s="2" customFormat="1" ht="18.75" hidden="1" thickBot="1" x14ac:dyDescent="0.3">
      <c r="A244" s="329" t="s">
        <v>862</v>
      </c>
      <c r="B244" s="330">
        <v>26345</v>
      </c>
      <c r="C244" s="331">
        <v>33100</v>
      </c>
      <c r="D244" s="332"/>
      <c r="E244" s="332" t="s">
        <v>863</v>
      </c>
      <c r="F244" s="6"/>
      <c r="G244" s="318" t="s">
        <v>36</v>
      </c>
      <c r="H244" s="333" t="s">
        <v>37</v>
      </c>
      <c r="I244" s="333" t="s">
        <v>97</v>
      </c>
      <c r="J244" s="334" t="s">
        <v>98</v>
      </c>
      <c r="K244" s="199"/>
      <c r="L244" s="7">
        <v>45459</v>
      </c>
      <c r="M244" s="321"/>
      <c r="N244" s="332"/>
      <c r="O244" s="335"/>
      <c r="P244" s="332"/>
      <c r="Q244" s="336"/>
      <c r="R244" s="337"/>
      <c r="S244" s="336"/>
      <c r="T244" s="71">
        <v>45507</v>
      </c>
      <c r="U244" s="338" t="s">
        <v>43</v>
      </c>
      <c r="V244" s="7">
        <v>45512</v>
      </c>
      <c r="W244" s="327" t="s">
        <v>45</v>
      </c>
      <c r="X244" s="114">
        <f>33600/2</f>
        <v>16800</v>
      </c>
      <c r="Y244" s="333" t="s">
        <v>341</v>
      </c>
      <c r="Z244" s="333"/>
      <c r="AA244" s="339"/>
      <c r="AB244" s="7">
        <v>45511</v>
      </c>
      <c r="AC244" s="7">
        <v>45507</v>
      </c>
      <c r="AD244" s="340"/>
      <c r="AE244" s="263">
        <v>45504</v>
      </c>
      <c r="AF244" s="15"/>
      <c r="AG244" s="15"/>
      <c r="AH244" s="15"/>
      <c r="AI244" s="15"/>
      <c r="AJ244" s="15"/>
      <c r="AK244" s="15"/>
      <c r="AL244" s="15"/>
      <c r="AM244" s="15"/>
      <c r="AN244" s="15"/>
      <c r="AO244" s="15"/>
      <c r="AP244" s="15"/>
    </row>
    <row r="245" spans="1:46" s="30" customFormat="1" ht="18" hidden="1" customHeight="1" x14ac:dyDescent="0.25">
      <c r="A245" s="109" t="s">
        <v>718</v>
      </c>
      <c r="B245" s="22">
        <v>26484</v>
      </c>
      <c r="C245" s="246">
        <v>40000</v>
      </c>
      <c r="D245" s="22" t="s">
        <v>249</v>
      </c>
      <c r="E245" s="22" t="s">
        <v>864</v>
      </c>
      <c r="F245" s="22"/>
      <c r="G245" s="22"/>
      <c r="H245" s="24" t="s">
        <v>37</v>
      </c>
      <c r="I245" s="24" t="s">
        <v>720</v>
      </c>
      <c r="J245" s="24" t="s">
        <v>62</v>
      </c>
      <c r="K245" s="24"/>
      <c r="L245" s="25">
        <v>45509</v>
      </c>
      <c r="M245" s="25"/>
      <c r="N245" s="22" t="s">
        <v>791</v>
      </c>
      <c r="O245" s="247">
        <v>6450</v>
      </c>
      <c r="P245" s="22" t="s">
        <v>80</v>
      </c>
      <c r="Q245" s="27">
        <f>+O245/C245</f>
        <v>0.16125</v>
      </c>
      <c r="R245" s="217"/>
      <c r="S245" s="27"/>
      <c r="T245" s="25">
        <v>45511</v>
      </c>
      <c r="U245" s="28" t="s">
        <v>66</v>
      </c>
      <c r="V245" s="25">
        <v>45512</v>
      </c>
      <c r="W245" s="24" t="s">
        <v>45</v>
      </c>
      <c r="X245" s="248">
        <v>70000</v>
      </c>
      <c r="Y245" s="24" t="s">
        <v>215</v>
      </c>
      <c r="Z245" s="24"/>
      <c r="AA245" s="78"/>
      <c r="AB245" s="78"/>
      <c r="AC245" s="7">
        <v>45510</v>
      </c>
      <c r="AD245" s="38"/>
      <c r="AE245" s="263">
        <v>45506</v>
      </c>
      <c r="AF245" s="15"/>
      <c r="AG245" s="15"/>
      <c r="AH245" s="15"/>
      <c r="AI245" s="15"/>
      <c r="AJ245" s="15"/>
      <c r="AK245" s="15"/>
      <c r="AL245" s="15"/>
      <c r="AM245" s="15"/>
      <c r="AN245" s="15"/>
      <c r="AO245" s="15"/>
      <c r="AP245" s="15"/>
      <c r="AQ245" s="15"/>
      <c r="AR245" s="15"/>
      <c r="AS245" s="15"/>
      <c r="AT245" s="15"/>
    </row>
    <row r="246" spans="1:46" s="30" customFormat="1" ht="18" hidden="1" x14ac:dyDescent="0.25">
      <c r="A246" s="341" t="s">
        <v>718</v>
      </c>
      <c r="B246" s="31">
        <v>26894</v>
      </c>
      <c r="C246" s="32">
        <v>40000</v>
      </c>
      <c r="D246" s="31" t="s">
        <v>249</v>
      </c>
      <c r="E246" s="31" t="s">
        <v>865</v>
      </c>
      <c r="F246" s="100" t="s">
        <v>866</v>
      </c>
      <c r="G246" s="100" t="s">
        <v>434</v>
      </c>
      <c r="H246" s="33" t="s">
        <v>37</v>
      </c>
      <c r="I246" s="33" t="s">
        <v>720</v>
      </c>
      <c r="J246" s="33" t="s">
        <v>62</v>
      </c>
      <c r="K246" s="33"/>
      <c r="L246" s="102">
        <v>45509</v>
      </c>
      <c r="M246" s="34"/>
      <c r="N246" s="31" t="s">
        <v>434</v>
      </c>
      <c r="O246" s="35">
        <f>3660*1.225</f>
        <v>4483.5</v>
      </c>
      <c r="P246" s="31" t="s">
        <v>41</v>
      </c>
      <c r="Q246" s="49">
        <f>+O246/C246</f>
        <v>0.11208750000000001</v>
      </c>
      <c r="R246" s="238"/>
      <c r="S246" s="49"/>
      <c r="T246" s="34">
        <v>45511</v>
      </c>
      <c r="U246" s="42" t="s">
        <v>66</v>
      </c>
      <c r="V246" s="34">
        <v>45512</v>
      </c>
      <c r="W246" s="33" t="s">
        <v>358</v>
      </c>
      <c r="X246" s="50">
        <v>90000</v>
      </c>
      <c r="Y246" s="33" t="s">
        <v>215</v>
      </c>
      <c r="Z246" s="33"/>
      <c r="AA246" s="78"/>
      <c r="AB246" s="78"/>
      <c r="AC246" s="7">
        <v>45510</v>
      </c>
      <c r="AD246" s="38"/>
      <c r="AE246" s="71">
        <v>45505</v>
      </c>
      <c r="AF246" s="15"/>
      <c r="AG246" s="15"/>
      <c r="AH246" s="15"/>
      <c r="AI246" s="15"/>
      <c r="AJ246" s="15"/>
      <c r="AK246" s="15"/>
      <c r="AL246" s="15"/>
      <c r="AM246" s="15"/>
      <c r="AN246" s="15"/>
      <c r="AO246" s="15"/>
      <c r="AP246" s="15"/>
      <c r="AQ246" s="15"/>
      <c r="AR246" s="15"/>
      <c r="AS246" s="15"/>
      <c r="AT246" s="15"/>
    </row>
    <row r="247" spans="1:46" s="15" customFormat="1" ht="20.45" hidden="1" customHeight="1" x14ac:dyDescent="0.25">
      <c r="A247" s="209" t="s">
        <v>175</v>
      </c>
      <c r="B247" s="6">
        <v>24488</v>
      </c>
      <c r="C247" s="5">
        <v>44000</v>
      </c>
      <c r="D247" s="6" t="s">
        <v>105</v>
      </c>
      <c r="E247" s="6" t="s">
        <v>176</v>
      </c>
      <c r="F247" s="6" t="s">
        <v>867</v>
      </c>
      <c r="G247" s="6" t="s">
        <v>345</v>
      </c>
      <c r="H247" s="6" t="s">
        <v>51</v>
      </c>
      <c r="I247" s="6"/>
      <c r="J247" s="6" t="s">
        <v>75</v>
      </c>
      <c r="K247" s="6"/>
      <c r="L247" s="7">
        <v>45471</v>
      </c>
      <c r="M247" s="7"/>
      <c r="N247" s="73" t="s">
        <v>40</v>
      </c>
      <c r="O247" s="13">
        <v>575</v>
      </c>
      <c r="P247" s="6" t="s">
        <v>80</v>
      </c>
      <c r="Q247" s="41">
        <f>+O247/C247</f>
        <v>1.3068181818181817E-2</v>
      </c>
      <c r="R247" s="7">
        <v>45496</v>
      </c>
      <c r="S247" s="41" t="s">
        <v>65</v>
      </c>
      <c r="T247" s="7">
        <v>45512</v>
      </c>
      <c r="U247" s="17" t="s">
        <v>178</v>
      </c>
      <c r="V247" s="7">
        <v>45512</v>
      </c>
      <c r="W247" s="11" t="s">
        <v>45</v>
      </c>
      <c r="X247" s="114">
        <v>31000</v>
      </c>
      <c r="Y247" s="11" t="s">
        <v>341</v>
      </c>
      <c r="Z247" s="11"/>
      <c r="AA247" s="78"/>
      <c r="AB247" s="7">
        <v>45511</v>
      </c>
      <c r="AC247" s="7">
        <v>45510</v>
      </c>
      <c r="AD247" s="242"/>
      <c r="AE247" s="71">
        <v>45521</v>
      </c>
    </row>
    <row r="248" spans="1:46" s="30" customFormat="1" ht="18" hidden="1" customHeight="1" thickBot="1" x14ac:dyDescent="0.3">
      <c r="A248" s="21" t="s">
        <v>274</v>
      </c>
      <c r="B248" s="22">
        <v>26511</v>
      </c>
      <c r="C248" s="246">
        <v>40000</v>
      </c>
      <c r="D248" s="22" t="s">
        <v>249</v>
      </c>
      <c r="E248" s="22" t="s">
        <v>728</v>
      </c>
      <c r="F248" s="22" t="s">
        <v>868</v>
      </c>
      <c r="G248" s="22" t="s">
        <v>434</v>
      </c>
      <c r="H248" s="24" t="s">
        <v>37</v>
      </c>
      <c r="I248" s="24" t="s">
        <v>729</v>
      </c>
      <c r="J248" s="24" t="s">
        <v>62</v>
      </c>
      <c r="K248" s="24"/>
      <c r="L248" s="25"/>
      <c r="M248" s="25"/>
      <c r="N248" s="22" t="s">
        <v>434</v>
      </c>
      <c r="O248" s="247">
        <f>3325*1.225</f>
        <v>4073.1250000000005</v>
      </c>
      <c r="P248" s="22" t="s">
        <v>41</v>
      </c>
      <c r="Q248" s="27">
        <f>+O248/C248</f>
        <v>0.10182812500000001</v>
      </c>
      <c r="R248" s="217"/>
      <c r="S248" s="27"/>
      <c r="T248" s="25">
        <v>45512</v>
      </c>
      <c r="U248" s="28" t="s">
        <v>66</v>
      </c>
      <c r="V248" s="25">
        <v>45513</v>
      </c>
      <c r="W248" s="24" t="s">
        <v>358</v>
      </c>
      <c r="X248" s="248">
        <v>94000</v>
      </c>
      <c r="Y248" s="24" t="s">
        <v>215</v>
      </c>
      <c r="Z248" s="24"/>
      <c r="AA248" s="78"/>
      <c r="AB248" s="78"/>
      <c r="AC248" s="7">
        <v>45512</v>
      </c>
      <c r="AD248" s="38"/>
      <c r="AE248" s="263">
        <v>45506</v>
      </c>
      <c r="AF248" s="15"/>
      <c r="AG248" s="15"/>
      <c r="AH248" s="15"/>
      <c r="AI248" s="15"/>
      <c r="AJ248" s="15"/>
      <c r="AK248" s="15"/>
      <c r="AL248" s="15"/>
      <c r="AM248" s="15"/>
      <c r="AN248" s="15"/>
      <c r="AO248" s="15"/>
      <c r="AP248" s="15"/>
      <c r="AQ248" s="15"/>
      <c r="AR248" s="15"/>
      <c r="AS248" s="15"/>
      <c r="AT248" s="15"/>
    </row>
    <row r="249" spans="1:46" s="15" customFormat="1" ht="18.75" hidden="1" thickBot="1" x14ac:dyDescent="0.3">
      <c r="A249" s="342" t="s">
        <v>565</v>
      </c>
      <c r="B249" s="332">
        <v>26480</v>
      </c>
      <c r="C249" s="343">
        <v>11025</v>
      </c>
      <c r="D249" s="332" t="s">
        <v>105</v>
      </c>
      <c r="E249" s="332" t="s">
        <v>869</v>
      </c>
      <c r="F249" s="6" t="s">
        <v>870</v>
      </c>
      <c r="G249" s="318" t="s">
        <v>36</v>
      </c>
      <c r="H249" s="334" t="s">
        <v>37</v>
      </c>
      <c r="I249" s="333" t="s">
        <v>97</v>
      </c>
      <c r="J249" s="334" t="s">
        <v>98</v>
      </c>
      <c r="K249" s="199"/>
      <c r="L249" s="7">
        <v>45459</v>
      </c>
      <c r="M249" s="313"/>
      <c r="N249" s="344"/>
      <c r="O249" s="345"/>
      <c r="P249" s="332"/>
      <c r="Q249" s="346"/>
      <c r="R249" s="347"/>
      <c r="S249" s="336"/>
      <c r="T249" s="71">
        <v>45507</v>
      </c>
      <c r="U249" s="348" t="s">
        <v>43</v>
      </c>
      <c r="V249" s="7">
        <v>45513</v>
      </c>
      <c r="W249" s="327" t="s">
        <v>45</v>
      </c>
      <c r="X249" s="114">
        <v>50400</v>
      </c>
      <c r="Y249" s="333" t="s">
        <v>68</v>
      </c>
      <c r="Z249" s="171"/>
      <c r="AA249" s="7">
        <v>45510</v>
      </c>
      <c r="AB249" s="7">
        <v>45511</v>
      </c>
      <c r="AC249" s="7">
        <v>45507</v>
      </c>
      <c r="AD249" s="349"/>
      <c r="AE249" s="263">
        <v>45504</v>
      </c>
    </row>
    <row r="250" spans="1:46" s="15" customFormat="1" ht="18.75" hidden="1" thickBot="1" x14ac:dyDescent="0.3">
      <c r="A250" s="317" t="s">
        <v>136</v>
      </c>
      <c r="B250" s="318">
        <v>26536</v>
      </c>
      <c r="C250" s="319">
        <f>900*25</f>
        <v>22500</v>
      </c>
      <c r="D250" s="318"/>
      <c r="E250" s="318" t="s">
        <v>871</v>
      </c>
      <c r="G250" s="318" t="s">
        <v>36</v>
      </c>
      <c r="H250" s="320" t="s">
        <v>164</v>
      </c>
      <c r="I250" s="333" t="s">
        <v>97</v>
      </c>
      <c r="J250" s="320" t="s">
        <v>98</v>
      </c>
      <c r="K250" s="393"/>
      <c r="L250" s="7">
        <v>45459</v>
      </c>
      <c r="M250" s="321" t="s">
        <v>861</v>
      </c>
      <c r="N250" s="322" t="s">
        <v>40</v>
      </c>
      <c r="O250" s="371">
        <f>1850+400</f>
        <v>2250</v>
      </c>
      <c r="P250" s="318"/>
      <c r="Q250" s="323"/>
      <c r="R250" s="324"/>
      <c r="S250" s="325"/>
      <c r="T250" s="71">
        <v>45507</v>
      </c>
      <c r="U250" s="326" t="s">
        <v>43</v>
      </c>
      <c r="V250" s="7">
        <v>45513</v>
      </c>
      <c r="W250" s="327" t="s">
        <v>45</v>
      </c>
      <c r="X250" s="114">
        <v>64088</v>
      </c>
      <c r="Y250" s="327" t="s">
        <v>68</v>
      </c>
      <c r="Z250" s="47"/>
      <c r="AA250" s="7">
        <v>45510</v>
      </c>
      <c r="AB250" s="7">
        <v>45511</v>
      </c>
      <c r="AC250" s="7">
        <v>45507</v>
      </c>
      <c r="AD250" s="328"/>
      <c r="AE250" s="263">
        <v>45504</v>
      </c>
    </row>
    <row r="251" spans="1:46" s="2" customFormat="1" ht="18.75" hidden="1" thickBot="1" x14ac:dyDescent="0.3">
      <c r="A251" s="113" t="s">
        <v>506</v>
      </c>
      <c r="B251" s="6">
        <v>25507</v>
      </c>
      <c r="C251" s="5">
        <v>55000</v>
      </c>
      <c r="D251" s="6" t="s">
        <v>33</v>
      </c>
      <c r="E251" s="116" t="s">
        <v>872</v>
      </c>
      <c r="F251" s="67" t="s">
        <v>873</v>
      </c>
      <c r="G251" s="4" t="s">
        <v>36</v>
      </c>
      <c r="H251" s="70" t="s">
        <v>37</v>
      </c>
      <c r="I251" s="70" t="s">
        <v>412</v>
      </c>
      <c r="J251" s="70" t="s">
        <v>413</v>
      </c>
      <c r="K251" s="138"/>
      <c r="L251" s="313">
        <v>45451</v>
      </c>
      <c r="M251" s="72" t="s">
        <v>414</v>
      </c>
      <c r="N251" s="73" t="s">
        <v>40</v>
      </c>
      <c r="O251" s="118">
        <f>7976+62.5+400</f>
        <v>8438.5</v>
      </c>
      <c r="P251" s="73" t="s">
        <v>41</v>
      </c>
      <c r="Q251" s="36">
        <f t="shared" ref="Q251:Q260" si="9">+O251/C251</f>
        <v>0.15342727272727272</v>
      </c>
      <c r="R251" s="7">
        <v>45493</v>
      </c>
      <c r="S251" s="41" t="s">
        <v>65</v>
      </c>
      <c r="T251" s="7">
        <v>45511</v>
      </c>
      <c r="U251" s="67" t="s">
        <v>76</v>
      </c>
      <c r="V251" s="7">
        <v>45513</v>
      </c>
      <c r="W251" s="11" t="s">
        <v>45</v>
      </c>
      <c r="X251" s="114">
        <v>42660</v>
      </c>
      <c r="Y251" s="11" t="s">
        <v>68</v>
      </c>
      <c r="Z251" s="11"/>
      <c r="AA251" s="7">
        <v>45496</v>
      </c>
      <c r="AB251" s="7">
        <v>45496</v>
      </c>
      <c r="AC251" s="7">
        <v>45513</v>
      </c>
      <c r="AD251" s="96"/>
      <c r="AE251" s="71">
        <v>45514</v>
      </c>
    </row>
    <row r="252" spans="1:46" s="2" customFormat="1" ht="21" hidden="1" customHeight="1" x14ac:dyDescent="0.25">
      <c r="A252" s="226" t="s">
        <v>874</v>
      </c>
      <c r="B252" s="231" t="s">
        <v>875</v>
      </c>
      <c r="C252" s="5">
        <v>17615</v>
      </c>
      <c r="D252" s="4" t="s">
        <v>33</v>
      </c>
      <c r="E252" s="12" t="s">
        <v>876</v>
      </c>
      <c r="F252" s="6" t="s">
        <v>877</v>
      </c>
      <c r="G252" s="6" t="s">
        <v>36</v>
      </c>
      <c r="H252" s="8" t="s">
        <v>37</v>
      </c>
      <c r="I252" s="11" t="s">
        <v>74</v>
      </c>
      <c r="J252" s="8" t="s">
        <v>75</v>
      </c>
      <c r="K252" s="8"/>
      <c r="L252" s="7">
        <v>45429</v>
      </c>
      <c r="M252" s="8" t="s">
        <v>414</v>
      </c>
      <c r="N252" s="73" t="s">
        <v>40</v>
      </c>
      <c r="O252" s="250">
        <f>4350+400</f>
        <v>4750</v>
      </c>
      <c r="P252" s="6" t="s">
        <v>41</v>
      </c>
      <c r="Q252" s="36">
        <f t="shared" si="9"/>
        <v>0.26965654271927336</v>
      </c>
      <c r="R252" s="7"/>
      <c r="S252" s="41"/>
      <c r="T252" s="71">
        <v>45511</v>
      </c>
      <c r="U252" s="17" t="s">
        <v>43</v>
      </c>
      <c r="V252" s="7">
        <v>45514</v>
      </c>
      <c r="W252" s="10" t="s">
        <v>45</v>
      </c>
      <c r="X252" s="114">
        <f>18366-5509.8</f>
        <v>12856.2</v>
      </c>
      <c r="Y252" s="11" t="s">
        <v>341</v>
      </c>
      <c r="Z252" s="11"/>
      <c r="AA252" s="78"/>
      <c r="AB252" s="7">
        <v>45506</v>
      </c>
      <c r="AC252" s="7">
        <v>45509</v>
      </c>
      <c r="AD252" s="11"/>
      <c r="AE252" s="71">
        <v>45514</v>
      </c>
      <c r="AF252" s="15"/>
      <c r="AG252" s="15"/>
      <c r="AH252" s="15"/>
      <c r="AI252" s="15"/>
      <c r="AJ252" s="15"/>
      <c r="AK252" s="15"/>
      <c r="AL252" s="15"/>
      <c r="AM252" s="15"/>
      <c r="AN252" s="15"/>
      <c r="AO252" s="15"/>
    </row>
    <row r="253" spans="1:46" s="2" customFormat="1" ht="18.75" hidden="1" thickBot="1" x14ac:dyDescent="0.3">
      <c r="A253" s="113" t="s">
        <v>506</v>
      </c>
      <c r="B253" s="6">
        <v>25505</v>
      </c>
      <c r="C253" s="5">
        <v>55000</v>
      </c>
      <c r="D253" s="6" t="s">
        <v>33</v>
      </c>
      <c r="E253" s="116" t="s">
        <v>878</v>
      </c>
      <c r="F253" s="6" t="s">
        <v>879</v>
      </c>
      <c r="G253" s="6" t="s">
        <v>36</v>
      </c>
      <c r="H253" s="70" t="s">
        <v>37</v>
      </c>
      <c r="I253" s="70" t="s">
        <v>412</v>
      </c>
      <c r="J253" s="70" t="s">
        <v>413</v>
      </c>
      <c r="K253" s="138"/>
      <c r="L253" s="313">
        <v>45437</v>
      </c>
      <c r="M253" s="72" t="s">
        <v>414</v>
      </c>
      <c r="N253" s="73" t="s">
        <v>40</v>
      </c>
      <c r="O253" s="118">
        <f>6500+62.5+400</f>
        <v>6962.5</v>
      </c>
      <c r="P253" s="73" t="s">
        <v>41</v>
      </c>
      <c r="Q253" s="36">
        <f t="shared" si="9"/>
        <v>0.12659090909090909</v>
      </c>
      <c r="R253" s="219"/>
      <c r="S253" s="41"/>
      <c r="T253" s="71">
        <v>45515</v>
      </c>
      <c r="U253" s="46" t="s">
        <v>43</v>
      </c>
      <c r="V253" s="7">
        <v>45517</v>
      </c>
      <c r="W253" s="11" t="s">
        <v>334</v>
      </c>
      <c r="X253" s="114">
        <v>43740</v>
      </c>
      <c r="Y253" s="11" t="s">
        <v>68</v>
      </c>
      <c r="Z253" s="11"/>
      <c r="AA253" s="7">
        <v>45491</v>
      </c>
      <c r="AB253" s="7">
        <v>45510</v>
      </c>
      <c r="AC253" s="7">
        <v>45517</v>
      </c>
      <c r="AD253" s="96"/>
      <c r="AE253" s="71">
        <v>45514</v>
      </c>
    </row>
    <row r="254" spans="1:46" s="30" customFormat="1" ht="18" hidden="1" customHeight="1" x14ac:dyDescent="0.25">
      <c r="A254" s="21" t="s">
        <v>880</v>
      </c>
      <c r="B254" s="22">
        <v>26993</v>
      </c>
      <c r="C254" s="246">
        <v>40320</v>
      </c>
      <c r="D254" s="256" t="s">
        <v>249</v>
      </c>
      <c r="E254" s="22" t="s">
        <v>881</v>
      </c>
      <c r="F254" s="22"/>
      <c r="G254" s="22"/>
      <c r="H254" s="24" t="s">
        <v>37</v>
      </c>
      <c r="I254" s="24" t="s">
        <v>882</v>
      </c>
      <c r="J254" s="24" t="s">
        <v>62</v>
      </c>
      <c r="K254" s="24"/>
      <c r="L254" s="255">
        <v>45513</v>
      </c>
      <c r="M254" s="25"/>
      <c r="N254" s="22" t="s">
        <v>403</v>
      </c>
      <c r="O254" s="26">
        <v>5300</v>
      </c>
      <c r="P254" s="22" t="s">
        <v>80</v>
      </c>
      <c r="Q254" s="27">
        <f t="shared" si="9"/>
        <v>0.1314484126984127</v>
      </c>
      <c r="R254" s="217"/>
      <c r="S254" s="27"/>
      <c r="T254" s="24"/>
      <c r="U254" s="245" t="s">
        <v>66</v>
      </c>
      <c r="V254" s="25">
        <v>45517</v>
      </c>
      <c r="W254" s="24" t="s">
        <v>358</v>
      </c>
      <c r="X254" s="248">
        <v>185472</v>
      </c>
      <c r="Y254" s="24" t="s">
        <v>215</v>
      </c>
      <c r="Z254" s="24"/>
      <c r="AA254" s="78"/>
      <c r="AB254" s="78"/>
      <c r="AC254" s="7">
        <v>45514</v>
      </c>
      <c r="AD254" s="38"/>
      <c r="AE254" s="71">
        <v>45517</v>
      </c>
      <c r="AF254" s="15"/>
      <c r="AG254" s="15"/>
      <c r="AH254" s="15"/>
      <c r="AI254" s="15"/>
      <c r="AJ254" s="15"/>
      <c r="AK254" s="15"/>
      <c r="AL254" s="15"/>
      <c r="AM254" s="15"/>
      <c r="AN254" s="15"/>
      <c r="AO254" s="15"/>
      <c r="AP254" s="15"/>
      <c r="AQ254" s="15"/>
      <c r="AR254" s="15"/>
      <c r="AS254" s="15"/>
      <c r="AT254" s="15"/>
    </row>
    <row r="255" spans="1:46" s="15" customFormat="1" ht="18" hidden="1" x14ac:dyDescent="0.25">
      <c r="A255" s="113" t="s">
        <v>382</v>
      </c>
      <c r="B255" s="6">
        <v>26496</v>
      </c>
      <c r="C255" s="5">
        <v>44100</v>
      </c>
      <c r="D255" s="6" t="s">
        <v>105</v>
      </c>
      <c r="E255" s="6" t="s">
        <v>883</v>
      </c>
      <c r="F255" s="4" t="s">
        <v>884</v>
      </c>
      <c r="G255" s="6" t="s">
        <v>108</v>
      </c>
      <c r="H255" s="8" t="s">
        <v>37</v>
      </c>
      <c r="I255" s="8" t="s">
        <v>74</v>
      </c>
      <c r="J255" s="8" t="s">
        <v>75</v>
      </c>
      <c r="K255" s="8"/>
      <c r="L255" s="7">
        <v>45465</v>
      </c>
      <c r="M255" s="7" t="s">
        <v>99</v>
      </c>
      <c r="N255" s="6" t="s">
        <v>40</v>
      </c>
      <c r="O255" s="13">
        <f>6920+50+400</f>
        <v>7370</v>
      </c>
      <c r="P255" s="6" t="s">
        <v>41</v>
      </c>
      <c r="Q255" s="36">
        <f t="shared" si="9"/>
        <v>0.16712018140589568</v>
      </c>
      <c r="R255" s="7">
        <v>45505</v>
      </c>
      <c r="S255" s="41" t="s">
        <v>65</v>
      </c>
      <c r="T255" s="71">
        <v>45514</v>
      </c>
      <c r="U255" s="46" t="s">
        <v>178</v>
      </c>
      <c r="V255" s="7">
        <v>45519</v>
      </c>
      <c r="W255" s="10" t="s">
        <v>334</v>
      </c>
      <c r="X255" s="236">
        <v>34992</v>
      </c>
      <c r="Y255" s="11" t="s">
        <v>341</v>
      </c>
      <c r="Z255" s="171"/>
      <c r="AA255" s="351"/>
      <c r="AB255" s="7">
        <v>45518</v>
      </c>
      <c r="AC255" s="7">
        <v>45514</v>
      </c>
      <c r="AD255" s="38"/>
      <c r="AE255" s="71">
        <v>45521</v>
      </c>
    </row>
    <row r="256" spans="1:46" s="15" customFormat="1" ht="18" hidden="1" x14ac:dyDescent="0.25">
      <c r="A256" s="209" t="s">
        <v>175</v>
      </c>
      <c r="B256" s="6">
        <v>24489</v>
      </c>
      <c r="C256" s="5">
        <v>44000</v>
      </c>
      <c r="D256" s="6" t="s">
        <v>105</v>
      </c>
      <c r="E256" s="6" t="s">
        <v>176</v>
      </c>
      <c r="F256" s="4" t="s">
        <v>885</v>
      </c>
      <c r="G256" s="6" t="s">
        <v>345</v>
      </c>
      <c r="H256" s="6" t="s">
        <v>51</v>
      </c>
      <c r="I256" s="6"/>
      <c r="J256" s="6" t="s">
        <v>75</v>
      </c>
      <c r="K256" s="6"/>
      <c r="L256" s="7">
        <v>45477</v>
      </c>
      <c r="M256" s="7"/>
      <c r="N256" s="73" t="s">
        <v>40</v>
      </c>
      <c r="O256" s="13">
        <v>575</v>
      </c>
      <c r="P256" s="6" t="s">
        <v>80</v>
      </c>
      <c r="Q256" s="41">
        <f t="shared" si="9"/>
        <v>1.3068181818181817E-2</v>
      </c>
      <c r="R256" s="7">
        <v>45493</v>
      </c>
      <c r="S256" s="41" t="s">
        <v>65</v>
      </c>
      <c r="T256" s="7">
        <v>45515</v>
      </c>
      <c r="U256" s="17" t="s">
        <v>76</v>
      </c>
      <c r="V256" s="7">
        <v>45519</v>
      </c>
      <c r="W256" s="10" t="s">
        <v>334</v>
      </c>
      <c r="X256" s="236">
        <v>31000</v>
      </c>
      <c r="Y256" s="11" t="s">
        <v>341</v>
      </c>
      <c r="Z256" s="11"/>
      <c r="AA256" s="78"/>
      <c r="AB256" s="7">
        <v>45518</v>
      </c>
      <c r="AC256" s="7">
        <v>45516</v>
      </c>
      <c r="AD256" s="38"/>
      <c r="AE256" s="71">
        <v>45521</v>
      </c>
    </row>
    <row r="257" spans="1:47" s="30" customFormat="1" ht="18" hidden="1" customHeight="1" thickBot="1" x14ac:dyDescent="0.3">
      <c r="A257" s="21" t="s">
        <v>320</v>
      </c>
      <c r="B257" s="22">
        <v>27053</v>
      </c>
      <c r="C257" s="23">
        <f>1584*25</f>
        <v>39600</v>
      </c>
      <c r="D257" s="22" t="s">
        <v>249</v>
      </c>
      <c r="E257" s="22" t="s">
        <v>321</v>
      </c>
      <c r="F257" s="22"/>
      <c r="G257" s="22"/>
      <c r="H257" s="24" t="s">
        <v>37</v>
      </c>
      <c r="I257" s="24" t="s">
        <v>266</v>
      </c>
      <c r="J257" s="24" t="s">
        <v>62</v>
      </c>
      <c r="K257" s="24"/>
      <c r="L257" s="25">
        <v>45513</v>
      </c>
      <c r="M257" s="25"/>
      <c r="N257" s="22" t="s">
        <v>403</v>
      </c>
      <c r="O257" s="26">
        <v>2450</v>
      </c>
      <c r="P257" s="22" t="s">
        <v>80</v>
      </c>
      <c r="Q257" s="655">
        <f t="shared" si="9"/>
        <v>6.1868686868686872E-2</v>
      </c>
      <c r="R257" s="217"/>
      <c r="S257" s="27"/>
      <c r="T257" s="24"/>
      <c r="U257" s="28" t="s">
        <v>66</v>
      </c>
      <c r="V257" s="25">
        <v>45519</v>
      </c>
      <c r="W257" s="24" t="s">
        <v>334</v>
      </c>
      <c r="X257" s="29">
        <v>53856</v>
      </c>
      <c r="Y257" s="24" t="s">
        <v>215</v>
      </c>
      <c r="Z257" s="24"/>
      <c r="AA257" s="78"/>
      <c r="AB257" s="78"/>
      <c r="AC257" s="7">
        <v>45517</v>
      </c>
      <c r="AD257" s="43"/>
      <c r="AE257" s="71">
        <v>45519</v>
      </c>
      <c r="AF257" s="15"/>
      <c r="AG257" s="15"/>
      <c r="AH257" s="15"/>
      <c r="AI257" s="15"/>
      <c r="AJ257" s="15"/>
      <c r="AK257" s="15"/>
      <c r="AL257" s="15"/>
      <c r="AM257" s="15"/>
      <c r="AN257" s="15"/>
      <c r="AO257" s="15"/>
      <c r="AP257" s="15"/>
      <c r="AQ257" s="15"/>
      <c r="AR257" s="15"/>
      <c r="AS257" s="15"/>
      <c r="AT257" s="15"/>
    </row>
    <row r="258" spans="1:47" s="15" customFormat="1" ht="18" hidden="1" x14ac:dyDescent="0.25">
      <c r="A258" s="16" t="s">
        <v>886</v>
      </c>
      <c r="B258" s="6">
        <v>26551</v>
      </c>
      <c r="C258" s="5">
        <f>735*50</f>
        <v>36750</v>
      </c>
      <c r="D258" s="6" t="s">
        <v>105</v>
      </c>
      <c r="E258" s="6" t="s">
        <v>343</v>
      </c>
      <c r="F258" s="4" t="s">
        <v>887</v>
      </c>
      <c r="G258" s="6" t="s">
        <v>653</v>
      </c>
      <c r="H258" s="6" t="s">
        <v>51</v>
      </c>
      <c r="I258" s="6"/>
      <c r="J258" s="6" t="s">
        <v>52</v>
      </c>
      <c r="K258" s="6"/>
      <c r="L258" s="7">
        <v>45462</v>
      </c>
      <c r="M258" s="7"/>
      <c r="N258" s="73" t="s">
        <v>40</v>
      </c>
      <c r="O258" s="13">
        <v>575</v>
      </c>
      <c r="P258" s="6" t="s">
        <v>80</v>
      </c>
      <c r="Q258" s="19">
        <f t="shared" si="9"/>
        <v>1.5646258503401362E-2</v>
      </c>
      <c r="R258" s="7">
        <v>45501</v>
      </c>
      <c r="S258" s="41" t="s">
        <v>65</v>
      </c>
      <c r="T258" s="7">
        <v>45519</v>
      </c>
      <c r="U258" s="46" t="s">
        <v>178</v>
      </c>
      <c r="V258" s="7">
        <v>45520</v>
      </c>
      <c r="W258" s="11" t="s">
        <v>334</v>
      </c>
      <c r="X258" s="236">
        <f>101798-20359.6</f>
        <v>81438.399999999994</v>
      </c>
      <c r="Y258" s="327" t="s">
        <v>341</v>
      </c>
      <c r="Z258" s="47"/>
      <c r="AA258" s="78"/>
      <c r="AB258" s="7">
        <v>45513</v>
      </c>
      <c r="AC258" s="7">
        <v>45518</v>
      </c>
      <c r="AD258" s="38"/>
      <c r="AE258" s="71">
        <v>45521</v>
      </c>
    </row>
    <row r="259" spans="1:47" s="15" customFormat="1" ht="18" hidden="1" x14ac:dyDescent="0.25">
      <c r="A259" s="209" t="s">
        <v>279</v>
      </c>
      <c r="B259" s="6">
        <v>26476</v>
      </c>
      <c r="C259" s="5">
        <v>35000</v>
      </c>
      <c r="D259" s="6" t="s">
        <v>105</v>
      </c>
      <c r="E259" s="6" t="s">
        <v>888</v>
      </c>
      <c r="F259" s="4" t="s">
        <v>889</v>
      </c>
      <c r="G259" s="6" t="s">
        <v>587</v>
      </c>
      <c r="H259" s="11" t="s">
        <v>37</v>
      </c>
      <c r="I259" s="11" t="s">
        <v>281</v>
      </c>
      <c r="J259" s="11" t="s">
        <v>120</v>
      </c>
      <c r="K259" s="11"/>
      <c r="L259" s="7">
        <v>45466</v>
      </c>
      <c r="M259" s="7" t="s">
        <v>811</v>
      </c>
      <c r="N259" s="6" t="s">
        <v>40</v>
      </c>
      <c r="O259" s="41">
        <f>7025+400</f>
        <v>7425</v>
      </c>
      <c r="P259" s="6" t="s">
        <v>41</v>
      </c>
      <c r="Q259" s="36">
        <f t="shared" si="9"/>
        <v>0.21214285714285713</v>
      </c>
      <c r="R259" s="7">
        <v>45508</v>
      </c>
      <c r="S259" s="41" t="s">
        <v>65</v>
      </c>
      <c r="T259" s="71">
        <v>45520</v>
      </c>
      <c r="U259" s="46" t="s">
        <v>178</v>
      </c>
      <c r="V259" s="7">
        <v>45520</v>
      </c>
      <c r="W259" s="10" t="s">
        <v>45</v>
      </c>
      <c r="X259" s="236">
        <f>85750</f>
        <v>85750</v>
      </c>
      <c r="Y259" s="70" t="s">
        <v>341</v>
      </c>
      <c r="Z259" s="70"/>
      <c r="AA259" s="78"/>
      <c r="AB259" s="7">
        <v>45511</v>
      </c>
      <c r="AC259" s="7">
        <v>45519</v>
      </c>
      <c r="AD259" s="242" t="s">
        <v>890</v>
      </c>
      <c r="AE259" s="71">
        <v>45511</v>
      </c>
    </row>
    <row r="260" spans="1:47" s="15" customFormat="1" ht="18" hidden="1" x14ac:dyDescent="0.25">
      <c r="A260" s="209" t="s">
        <v>279</v>
      </c>
      <c r="B260" s="6">
        <v>26477</v>
      </c>
      <c r="C260" s="5">
        <v>35000</v>
      </c>
      <c r="D260" s="6" t="s">
        <v>105</v>
      </c>
      <c r="E260" s="6" t="s">
        <v>888</v>
      </c>
      <c r="F260" s="4" t="s">
        <v>891</v>
      </c>
      <c r="G260" s="6" t="s">
        <v>108</v>
      </c>
      <c r="H260" s="11" t="s">
        <v>37</v>
      </c>
      <c r="I260" s="11" t="s">
        <v>281</v>
      </c>
      <c r="J260" s="11" t="s">
        <v>120</v>
      </c>
      <c r="K260" s="47"/>
      <c r="L260" s="65">
        <v>45475</v>
      </c>
      <c r="M260" s="7" t="s">
        <v>811</v>
      </c>
      <c r="N260" s="6" t="s">
        <v>40</v>
      </c>
      <c r="O260" s="41">
        <f>5200+2000+1100+95+400</f>
        <v>8795</v>
      </c>
      <c r="P260" s="6" t="s">
        <v>41</v>
      </c>
      <c r="Q260" s="36">
        <f t="shared" si="9"/>
        <v>0.25128571428571428</v>
      </c>
      <c r="R260" s="7">
        <v>45510</v>
      </c>
      <c r="S260" s="41" t="s">
        <v>65</v>
      </c>
      <c r="T260" s="7">
        <v>45520</v>
      </c>
      <c r="U260" s="46" t="s">
        <v>178</v>
      </c>
      <c r="V260" s="7">
        <v>45523</v>
      </c>
      <c r="W260" s="11" t="s">
        <v>334</v>
      </c>
      <c r="X260" s="236">
        <f>85750</f>
        <v>85750</v>
      </c>
      <c r="Y260" s="70" t="s">
        <v>341</v>
      </c>
      <c r="Z260" s="70"/>
      <c r="AA260" s="78"/>
      <c r="AB260" s="7">
        <v>45511</v>
      </c>
      <c r="AC260" s="7">
        <v>45519</v>
      </c>
      <c r="AD260" s="6" t="s">
        <v>892</v>
      </c>
      <c r="AE260" s="71">
        <v>45521</v>
      </c>
    </row>
    <row r="261" spans="1:47" s="2" customFormat="1" ht="18" hidden="1" customHeight="1" x14ac:dyDescent="0.25">
      <c r="A261" s="230" t="s">
        <v>771</v>
      </c>
      <c r="B261" s="98">
        <v>26634</v>
      </c>
      <c r="C261" s="99">
        <v>39600</v>
      </c>
      <c r="D261" s="100" t="s">
        <v>249</v>
      </c>
      <c r="E261" s="101" t="s">
        <v>772</v>
      </c>
      <c r="F261" s="100"/>
      <c r="G261" s="100"/>
      <c r="H261" s="100" t="s">
        <v>60</v>
      </c>
      <c r="I261" s="100"/>
      <c r="J261" s="100" t="s">
        <v>62</v>
      </c>
      <c r="K261" s="100"/>
      <c r="L261" s="108"/>
      <c r="M261" s="103"/>
      <c r="N261" s="98"/>
      <c r="O261" s="105"/>
      <c r="P261" s="98"/>
      <c r="Q261" s="123"/>
      <c r="R261" s="102"/>
      <c r="S261" s="123"/>
      <c r="T261" s="102">
        <v>45520</v>
      </c>
      <c r="U261" s="100" t="s">
        <v>66</v>
      </c>
      <c r="V261" s="34">
        <v>45523</v>
      </c>
      <c r="W261" s="107" t="s">
        <v>893</v>
      </c>
      <c r="X261" s="50">
        <v>56628</v>
      </c>
      <c r="Y261" s="108" t="s">
        <v>215</v>
      </c>
      <c r="Z261" s="108"/>
      <c r="AA261" s="78"/>
      <c r="AB261" s="78"/>
      <c r="AC261" s="78"/>
      <c r="AD261" s="79"/>
      <c r="AE261" s="71" t="s">
        <v>378</v>
      </c>
    </row>
    <row r="262" spans="1:47" s="30" customFormat="1" ht="18" hidden="1" customHeight="1" x14ac:dyDescent="0.25">
      <c r="A262" s="109" t="s">
        <v>267</v>
      </c>
      <c r="B262" s="22">
        <v>26546</v>
      </c>
      <c r="C262" s="23">
        <v>44000</v>
      </c>
      <c r="D262" s="22" t="s">
        <v>249</v>
      </c>
      <c r="E262" s="22" t="s">
        <v>894</v>
      </c>
      <c r="F262" s="22" t="s">
        <v>895</v>
      </c>
      <c r="G262" s="22" t="s">
        <v>434</v>
      </c>
      <c r="H262" s="24" t="s">
        <v>37</v>
      </c>
      <c r="I262" s="24" t="s">
        <v>713</v>
      </c>
      <c r="J262" s="24" t="s">
        <v>62</v>
      </c>
      <c r="K262" s="24"/>
      <c r="L262" s="25">
        <v>45511</v>
      </c>
      <c r="M262" s="25"/>
      <c r="N262" s="22" t="s">
        <v>434</v>
      </c>
      <c r="O262" s="26">
        <f>3700*1.225</f>
        <v>4532.5</v>
      </c>
      <c r="P262" s="22" t="s">
        <v>41</v>
      </c>
      <c r="Q262" s="27">
        <f>+O262/C262</f>
        <v>0.10301136363636364</v>
      </c>
      <c r="R262" s="217"/>
      <c r="S262" s="27"/>
      <c r="T262" s="24"/>
      <c r="U262" s="28" t="s">
        <v>66</v>
      </c>
      <c r="V262" s="25">
        <v>45523</v>
      </c>
      <c r="W262" s="24" t="s">
        <v>45</v>
      </c>
      <c r="X262" s="29">
        <v>84000</v>
      </c>
      <c r="Y262" s="24" t="s">
        <v>215</v>
      </c>
      <c r="Z262" s="24"/>
      <c r="AA262" s="78"/>
      <c r="AB262" s="78"/>
      <c r="AC262" s="7">
        <v>45519</v>
      </c>
      <c r="AD262" s="38"/>
      <c r="AE262" s="71">
        <v>45517</v>
      </c>
      <c r="AF262" s="15"/>
      <c r="AG262" s="15"/>
      <c r="AH262" s="15"/>
      <c r="AI262" s="15"/>
      <c r="AJ262" s="15"/>
      <c r="AK262" s="15"/>
      <c r="AL262" s="15"/>
      <c r="AM262" s="15"/>
      <c r="AN262" s="15"/>
      <c r="AO262" s="15"/>
      <c r="AP262" s="15"/>
      <c r="AQ262" s="15"/>
      <c r="AR262" s="15"/>
      <c r="AS262" s="15"/>
      <c r="AT262" s="15"/>
    </row>
    <row r="263" spans="1:47" s="312" customFormat="1" ht="18" hidden="1" customHeight="1" thickBot="1" x14ac:dyDescent="0.3">
      <c r="A263" s="209" t="s">
        <v>463</v>
      </c>
      <c r="B263" s="6">
        <v>26842</v>
      </c>
      <c r="C263" s="5">
        <v>55000</v>
      </c>
      <c r="D263" s="6" t="s">
        <v>33</v>
      </c>
      <c r="E263" s="6" t="s">
        <v>464</v>
      </c>
      <c r="F263" s="4" t="s">
        <v>896</v>
      </c>
      <c r="G263" s="6" t="s">
        <v>687</v>
      </c>
      <c r="H263" s="6" t="s">
        <v>51</v>
      </c>
      <c r="I263" s="352"/>
      <c r="J263" s="6" t="s">
        <v>466</v>
      </c>
      <c r="K263" s="6"/>
      <c r="L263" s="7">
        <v>45510</v>
      </c>
      <c r="M263" s="20"/>
      <c r="N263" s="130" t="s">
        <v>40</v>
      </c>
      <c r="O263" s="13">
        <v>575</v>
      </c>
      <c r="P263" s="6" t="s">
        <v>80</v>
      </c>
      <c r="Q263" s="353"/>
      <c r="R263" s="20"/>
      <c r="S263" s="353"/>
      <c r="T263" s="71">
        <v>45523</v>
      </c>
      <c r="U263" s="354" t="s">
        <v>43</v>
      </c>
      <c r="V263" s="71">
        <v>45523</v>
      </c>
      <c r="W263" s="70" t="s">
        <v>334</v>
      </c>
      <c r="X263" s="236">
        <v>62250</v>
      </c>
      <c r="Y263" s="70" t="s">
        <v>341</v>
      </c>
      <c r="Z263" s="70"/>
      <c r="AA263" s="355"/>
      <c r="AB263" s="71">
        <v>45523</v>
      </c>
      <c r="AC263" s="71">
        <v>45523</v>
      </c>
      <c r="AD263" s="356"/>
      <c r="AE263" s="71">
        <v>45527</v>
      </c>
    </row>
    <row r="264" spans="1:47" s="15" customFormat="1" ht="18.75" hidden="1" thickBot="1" x14ac:dyDescent="0.3">
      <c r="A264" s="113" t="s">
        <v>104</v>
      </c>
      <c r="B264" s="6">
        <v>26516</v>
      </c>
      <c r="C264" s="5">
        <v>55000</v>
      </c>
      <c r="D264" s="6" t="s">
        <v>33</v>
      </c>
      <c r="E264" s="6" t="s">
        <v>743</v>
      </c>
      <c r="F264" s="318" t="s">
        <v>897</v>
      </c>
      <c r="G264" s="6" t="s">
        <v>687</v>
      </c>
      <c r="H264" s="6" t="s">
        <v>51</v>
      </c>
      <c r="I264" s="167"/>
      <c r="J264" s="6" t="s">
        <v>53</v>
      </c>
      <c r="K264" s="167"/>
      <c r="L264" s="313">
        <v>45458</v>
      </c>
      <c r="M264" s="7"/>
      <c r="N264" s="73" t="s">
        <v>40</v>
      </c>
      <c r="O264" s="13">
        <v>575</v>
      </c>
      <c r="P264" s="6" t="s">
        <v>80</v>
      </c>
      <c r="Q264" s="19"/>
      <c r="R264" s="219"/>
      <c r="S264" s="41"/>
      <c r="T264" s="71">
        <v>45523</v>
      </c>
      <c r="U264" s="67" t="s">
        <v>43</v>
      </c>
      <c r="V264" s="7">
        <v>45523</v>
      </c>
      <c r="W264" s="11" t="s">
        <v>45</v>
      </c>
      <c r="X264" s="236">
        <v>55219</v>
      </c>
      <c r="Y264" s="11" t="s">
        <v>341</v>
      </c>
      <c r="Z264" s="171"/>
      <c r="AA264" s="351"/>
      <c r="AB264" s="71"/>
      <c r="AC264" s="71">
        <v>45523</v>
      </c>
      <c r="AD264" s="38"/>
      <c r="AE264" s="71">
        <v>45527</v>
      </c>
    </row>
    <row r="265" spans="1:47" s="30" customFormat="1" ht="18" hidden="1" customHeight="1" x14ac:dyDescent="0.25">
      <c r="A265" s="341" t="s">
        <v>597</v>
      </c>
      <c r="B265" s="31">
        <v>26143</v>
      </c>
      <c r="C265" s="32">
        <v>39600</v>
      </c>
      <c r="D265" s="31" t="s">
        <v>249</v>
      </c>
      <c r="E265" s="31" t="s">
        <v>748</v>
      </c>
      <c r="F265" s="31"/>
      <c r="G265" s="31"/>
      <c r="H265" s="33" t="s">
        <v>164</v>
      </c>
      <c r="I265" s="33" t="s">
        <v>115</v>
      </c>
      <c r="J265" s="33" t="s">
        <v>62</v>
      </c>
      <c r="K265" s="33"/>
      <c r="L265" s="34">
        <v>45520</v>
      </c>
      <c r="M265" s="34"/>
      <c r="N265" s="31" t="s">
        <v>357</v>
      </c>
      <c r="O265" s="35">
        <v>5200</v>
      </c>
      <c r="P265" s="31" t="s">
        <v>80</v>
      </c>
      <c r="Q265" s="258">
        <f>+O265/C265</f>
        <v>0.13131313131313133</v>
      </c>
      <c r="R265" s="238"/>
      <c r="S265" s="49"/>
      <c r="T265" s="33"/>
      <c r="U265" s="100"/>
      <c r="V265" s="34">
        <v>45524</v>
      </c>
      <c r="W265" s="108" t="s">
        <v>898</v>
      </c>
      <c r="X265" s="50">
        <v>63360</v>
      </c>
      <c r="Y265" s="33" t="s">
        <v>215</v>
      </c>
      <c r="Z265" s="33"/>
      <c r="AA265" s="78"/>
      <c r="AB265" s="78"/>
      <c r="AC265" s="7">
        <v>45524</v>
      </c>
      <c r="AD265" s="38"/>
      <c r="AE265" s="71">
        <v>45536</v>
      </c>
      <c r="AF265" s="15"/>
      <c r="AG265" s="15"/>
      <c r="AH265" s="15"/>
      <c r="AI265" s="15"/>
      <c r="AJ265" s="15"/>
      <c r="AK265" s="15"/>
      <c r="AL265" s="15"/>
      <c r="AM265" s="15"/>
      <c r="AN265" s="15"/>
      <c r="AO265" s="15"/>
      <c r="AP265" s="15"/>
      <c r="AQ265" s="15"/>
      <c r="AR265" s="15"/>
      <c r="AS265" s="15"/>
      <c r="AT265" s="15"/>
    </row>
    <row r="266" spans="1:47" s="15" customFormat="1" ht="18.75" hidden="1" thickBot="1" x14ac:dyDescent="0.3">
      <c r="A266" s="357" t="s">
        <v>47</v>
      </c>
      <c r="B266" s="358">
        <v>26838</v>
      </c>
      <c r="C266" s="359">
        <v>55000</v>
      </c>
      <c r="D266" s="358" t="s">
        <v>48</v>
      </c>
      <c r="E266" s="358" t="s">
        <v>899</v>
      </c>
      <c r="F266" s="6" t="s">
        <v>900</v>
      </c>
      <c r="G266" s="6" t="s">
        <v>108</v>
      </c>
      <c r="H266" s="6" t="s">
        <v>51</v>
      </c>
      <c r="I266" s="6"/>
      <c r="J266" s="6" t="s">
        <v>479</v>
      </c>
      <c r="K266" s="167"/>
      <c r="L266" s="360">
        <v>45492</v>
      </c>
      <c r="M266" s="360"/>
      <c r="N266" s="361" t="s">
        <v>40</v>
      </c>
      <c r="O266" s="362"/>
      <c r="P266" s="358"/>
      <c r="Q266" s="363"/>
      <c r="R266" s="364"/>
      <c r="S266" s="365"/>
      <c r="T266" s="360">
        <v>45525</v>
      </c>
      <c r="U266" s="366" t="s">
        <v>43</v>
      </c>
      <c r="V266" s="360">
        <v>45527</v>
      </c>
      <c r="W266" s="367" t="s">
        <v>334</v>
      </c>
      <c r="X266" s="368">
        <v>24055</v>
      </c>
      <c r="Y266" s="369" t="s">
        <v>341</v>
      </c>
      <c r="Z266" s="171"/>
      <c r="AA266" s="78"/>
      <c r="AB266" s="71">
        <v>45526</v>
      </c>
      <c r="AC266" s="7">
        <v>45525</v>
      </c>
      <c r="AD266" s="38"/>
      <c r="AE266" s="71">
        <v>45527</v>
      </c>
    </row>
    <row r="267" spans="1:47" s="30" customFormat="1" ht="18" hidden="1" customHeight="1" thickTop="1" x14ac:dyDescent="0.25">
      <c r="A267" s="109" t="s">
        <v>399</v>
      </c>
      <c r="B267" s="22">
        <v>27132</v>
      </c>
      <c r="C267" s="23">
        <v>54000</v>
      </c>
      <c r="D267" s="22" t="s">
        <v>249</v>
      </c>
      <c r="E267" s="22" t="s">
        <v>901</v>
      </c>
      <c r="F267" s="22"/>
      <c r="G267" s="22"/>
      <c r="H267" s="22" t="s">
        <v>60</v>
      </c>
      <c r="I267" s="24"/>
      <c r="J267" s="24" t="s">
        <v>53</v>
      </c>
      <c r="K267" s="24"/>
      <c r="L267" s="25">
        <v>45518</v>
      </c>
      <c r="M267" s="25"/>
      <c r="N267" s="22"/>
      <c r="O267" s="26"/>
      <c r="P267" s="22"/>
      <c r="Q267" s="27">
        <f t="shared" ref="Q267:Q275" si="10">+O267/C267</f>
        <v>0</v>
      </c>
      <c r="R267" s="217"/>
      <c r="S267" s="27"/>
      <c r="T267" s="24"/>
      <c r="U267" s="28" t="s">
        <v>66</v>
      </c>
      <c r="V267" s="25">
        <v>45532</v>
      </c>
      <c r="W267" s="24" t="s">
        <v>45</v>
      </c>
      <c r="X267" s="29">
        <v>22308</v>
      </c>
      <c r="Y267" s="24" t="s">
        <v>215</v>
      </c>
      <c r="Z267" s="24"/>
      <c r="AA267" s="78"/>
      <c r="AB267" s="78"/>
      <c r="AC267" s="78"/>
      <c r="AD267" s="38"/>
      <c r="AE267" s="71" t="s">
        <v>378</v>
      </c>
      <c r="AF267" s="15"/>
      <c r="AG267" s="15"/>
      <c r="AH267" s="15"/>
      <c r="AI267" s="15"/>
      <c r="AJ267" s="15"/>
      <c r="AK267" s="15"/>
      <c r="AL267" s="15"/>
      <c r="AM267" s="15"/>
      <c r="AN267" s="15"/>
      <c r="AO267" s="15"/>
      <c r="AP267" s="15"/>
      <c r="AQ267" s="15"/>
      <c r="AR267" s="15"/>
      <c r="AS267" s="15"/>
      <c r="AT267" s="15"/>
    </row>
    <row r="268" spans="1:47" s="2" customFormat="1" ht="18" hidden="1" customHeight="1" x14ac:dyDescent="0.25">
      <c r="A268" s="230" t="s">
        <v>175</v>
      </c>
      <c r="B268" s="98">
        <v>24648</v>
      </c>
      <c r="C268" s="99">
        <v>44000</v>
      </c>
      <c r="D268" s="100" t="s">
        <v>105</v>
      </c>
      <c r="E268" s="101" t="s">
        <v>360</v>
      </c>
      <c r="F268" s="31" t="s">
        <v>902</v>
      </c>
      <c r="G268" s="100" t="s">
        <v>345</v>
      </c>
      <c r="H268" s="100" t="s">
        <v>51</v>
      </c>
      <c r="I268" s="100" t="s">
        <v>52</v>
      </c>
      <c r="J268" s="100" t="s">
        <v>75</v>
      </c>
      <c r="K268" s="100"/>
      <c r="L268" s="102">
        <v>45484</v>
      </c>
      <c r="M268" s="103"/>
      <c r="N268" s="98" t="s">
        <v>40</v>
      </c>
      <c r="O268" s="105">
        <v>575</v>
      </c>
      <c r="P268" s="98" t="s">
        <v>80</v>
      </c>
      <c r="Q268" s="258">
        <f t="shared" si="10"/>
        <v>1.3068181818181817E-2</v>
      </c>
      <c r="R268" s="102">
        <v>45516</v>
      </c>
      <c r="S268" s="123" t="s">
        <v>65</v>
      </c>
      <c r="T268" s="102">
        <v>45533</v>
      </c>
      <c r="U268" s="100" t="s">
        <v>178</v>
      </c>
      <c r="V268" s="34">
        <v>45534</v>
      </c>
      <c r="W268" s="107" t="s">
        <v>903</v>
      </c>
      <c r="X268" s="62">
        <v>33000</v>
      </c>
      <c r="Y268" s="108" t="s">
        <v>341</v>
      </c>
      <c r="Z268" s="108"/>
      <c r="AA268" s="78"/>
      <c r="AB268" s="71">
        <v>45530</v>
      </c>
      <c r="AC268" s="71">
        <v>45533</v>
      </c>
      <c r="AD268" s="79"/>
      <c r="AE268" s="71">
        <v>45542</v>
      </c>
    </row>
    <row r="269" spans="1:47" s="15" customFormat="1" ht="18" hidden="1" customHeight="1" thickBot="1" x14ac:dyDescent="0.3">
      <c r="A269" s="16" t="s">
        <v>175</v>
      </c>
      <c r="B269" s="6">
        <v>24490</v>
      </c>
      <c r="C269" s="5">
        <v>44000</v>
      </c>
      <c r="D269" s="6" t="s">
        <v>105</v>
      </c>
      <c r="E269" s="6" t="s">
        <v>176</v>
      </c>
      <c r="F269" s="4" t="s">
        <v>904</v>
      </c>
      <c r="G269" s="6" t="s">
        <v>345</v>
      </c>
      <c r="H269" s="6" t="s">
        <v>51</v>
      </c>
      <c r="I269" s="6" t="s">
        <v>52</v>
      </c>
      <c r="J269" s="6" t="s">
        <v>75</v>
      </c>
      <c r="K269" s="167"/>
      <c r="L269" s="313">
        <v>45484</v>
      </c>
      <c r="M269" s="7"/>
      <c r="N269" s="6" t="s">
        <v>40</v>
      </c>
      <c r="O269" s="250">
        <v>575</v>
      </c>
      <c r="P269" s="6" t="s">
        <v>80</v>
      </c>
      <c r="Q269" s="41">
        <f t="shared" si="10"/>
        <v>1.3068181818181817E-2</v>
      </c>
      <c r="R269" s="7">
        <v>45516</v>
      </c>
      <c r="S269" s="41" t="s">
        <v>65</v>
      </c>
      <c r="T269" s="71">
        <v>45533</v>
      </c>
      <c r="U269" s="17" t="s">
        <v>178</v>
      </c>
      <c r="V269" s="7">
        <v>45534</v>
      </c>
      <c r="W269" s="11" t="s">
        <v>45</v>
      </c>
      <c r="X269" s="236">
        <v>31000</v>
      </c>
      <c r="Y269" s="11" t="s">
        <v>341</v>
      </c>
      <c r="Z269" s="11"/>
      <c r="AA269" s="78"/>
      <c r="AB269" s="71">
        <v>45530</v>
      </c>
      <c r="AC269" s="71">
        <v>45533</v>
      </c>
      <c r="AD269" s="242"/>
      <c r="AE269" s="71">
        <v>45542</v>
      </c>
    </row>
    <row r="270" spans="1:47" s="15" customFormat="1" ht="18" hidden="1" x14ac:dyDescent="0.25">
      <c r="A270" s="372" t="s">
        <v>459</v>
      </c>
      <c r="B270" s="373">
        <v>26128</v>
      </c>
      <c r="C270" s="44">
        <v>44000</v>
      </c>
      <c r="D270" s="187" t="s">
        <v>105</v>
      </c>
      <c r="E270" s="374" t="s">
        <v>905</v>
      </c>
      <c r="F270" s="165" t="s">
        <v>906</v>
      </c>
      <c r="G270" s="45" t="s">
        <v>108</v>
      </c>
      <c r="H270" s="187" t="s">
        <v>51</v>
      </c>
      <c r="I270" s="375" t="s">
        <v>462</v>
      </c>
      <c r="J270" s="375" t="s">
        <v>156</v>
      </c>
      <c r="K270" s="375"/>
      <c r="L270" s="65">
        <v>45461</v>
      </c>
      <c r="M270" s="376"/>
      <c r="N270" s="45" t="s">
        <v>40</v>
      </c>
      <c r="O270" s="377">
        <v>575</v>
      </c>
      <c r="P270" s="45" t="s">
        <v>80</v>
      </c>
      <c r="Q270" s="154">
        <f t="shared" si="10"/>
        <v>1.3068181818181817E-2</v>
      </c>
      <c r="R270" s="65">
        <v>45522</v>
      </c>
      <c r="S270" s="154" t="s">
        <v>121</v>
      </c>
      <c r="T270" s="148">
        <v>45532</v>
      </c>
      <c r="U270" s="46" t="s">
        <v>76</v>
      </c>
      <c r="V270" s="7">
        <v>45534</v>
      </c>
      <c r="W270" s="150" t="s">
        <v>334</v>
      </c>
      <c r="X270" s="236">
        <v>50000</v>
      </c>
      <c r="Y270" s="47" t="s">
        <v>341</v>
      </c>
      <c r="Z270" s="47"/>
      <c r="AA270" s="78"/>
      <c r="AB270" s="71">
        <v>45532</v>
      </c>
      <c r="AC270" s="71">
        <v>45532</v>
      </c>
      <c r="AD270" s="38"/>
      <c r="AE270" s="71">
        <v>45542</v>
      </c>
    </row>
    <row r="271" spans="1:47" s="30" customFormat="1" ht="18" hidden="1" customHeight="1" x14ac:dyDescent="0.25">
      <c r="A271" s="378" t="s">
        <v>251</v>
      </c>
      <c r="B271" s="52">
        <v>26697</v>
      </c>
      <c r="C271" s="243">
        <v>40000</v>
      </c>
      <c r="D271" s="52" t="s">
        <v>249</v>
      </c>
      <c r="E271" s="52" t="s">
        <v>830</v>
      </c>
      <c r="F271" s="52"/>
      <c r="G271" s="52"/>
      <c r="H271" s="55" t="s">
        <v>164</v>
      </c>
      <c r="I271" s="55" t="s">
        <v>253</v>
      </c>
      <c r="J271" s="24" t="s">
        <v>62</v>
      </c>
      <c r="K271" s="55"/>
      <c r="L271" s="379">
        <v>45530</v>
      </c>
      <c r="M271" s="56"/>
      <c r="N271" s="52" t="s">
        <v>458</v>
      </c>
      <c r="O271" s="380">
        <v>6395</v>
      </c>
      <c r="P271" s="52" t="s">
        <v>80</v>
      </c>
      <c r="Q271" s="381">
        <f t="shared" si="10"/>
        <v>0.15987499999999999</v>
      </c>
      <c r="R271" s="244"/>
      <c r="S271" s="315"/>
      <c r="T271" s="55"/>
      <c r="U271" s="245" t="s">
        <v>66</v>
      </c>
      <c r="V271" s="56">
        <v>45538</v>
      </c>
      <c r="W271" s="55" t="s">
        <v>45</v>
      </c>
      <c r="X271" s="382">
        <v>83600</v>
      </c>
      <c r="Y271" s="55" t="s">
        <v>215</v>
      </c>
      <c r="Z271" s="55"/>
      <c r="AA271" s="78"/>
      <c r="AB271" s="78"/>
      <c r="AC271" s="65">
        <v>45534</v>
      </c>
      <c r="AD271" s="383" t="s">
        <v>907</v>
      </c>
      <c r="AE271" s="71">
        <v>45545</v>
      </c>
      <c r="AF271" s="15"/>
      <c r="AG271" s="15"/>
      <c r="AH271" s="15"/>
      <c r="AI271" s="15"/>
      <c r="AJ271" s="15"/>
      <c r="AK271" s="15"/>
      <c r="AL271" s="15"/>
      <c r="AM271" s="15"/>
      <c r="AN271" s="15"/>
      <c r="AO271" s="15"/>
      <c r="AP271" s="15"/>
      <c r="AQ271" s="15"/>
      <c r="AR271" s="15"/>
      <c r="AS271" s="15"/>
      <c r="AT271" s="15"/>
      <c r="AU271" s="15"/>
    </row>
    <row r="272" spans="1:47" s="15" customFormat="1" ht="18" hidden="1" x14ac:dyDescent="0.25">
      <c r="A272" s="16" t="s">
        <v>908</v>
      </c>
      <c r="B272" s="6">
        <v>26261</v>
      </c>
      <c r="C272" s="5">
        <v>50600</v>
      </c>
      <c r="D272" s="6" t="s">
        <v>797</v>
      </c>
      <c r="E272" s="6" t="s">
        <v>909</v>
      </c>
      <c r="F272" s="4" t="s">
        <v>910</v>
      </c>
      <c r="G272" s="6" t="s">
        <v>108</v>
      </c>
      <c r="H272" s="6" t="s">
        <v>51</v>
      </c>
      <c r="I272" s="6" t="s">
        <v>52</v>
      </c>
      <c r="J272" s="6"/>
      <c r="K272" s="6"/>
      <c r="L272" s="7">
        <v>45497</v>
      </c>
      <c r="M272" s="7"/>
      <c r="N272" s="73" t="s">
        <v>40</v>
      </c>
      <c r="O272" s="250">
        <v>575</v>
      </c>
      <c r="P272" s="6" t="s">
        <v>80</v>
      </c>
      <c r="Q272" s="41">
        <f t="shared" si="10"/>
        <v>1.1363636363636364E-2</v>
      </c>
      <c r="R272" s="220"/>
      <c r="S272" s="41"/>
      <c r="T272" s="71">
        <v>45534</v>
      </c>
      <c r="U272" s="17" t="s">
        <v>43</v>
      </c>
      <c r="V272" s="7">
        <v>45538</v>
      </c>
      <c r="W272" s="10" t="s">
        <v>45</v>
      </c>
      <c r="X272" s="114">
        <f>317450-63490</f>
        <v>253960</v>
      </c>
      <c r="Y272" s="11" t="s">
        <v>341</v>
      </c>
      <c r="Z272" s="11"/>
      <c r="AA272" s="78"/>
      <c r="AB272" s="71">
        <v>45532</v>
      </c>
      <c r="AC272" s="71">
        <v>45535</v>
      </c>
      <c r="AD272" s="38"/>
      <c r="AE272" s="71">
        <v>45542</v>
      </c>
    </row>
    <row r="273" spans="1:48" s="30" customFormat="1" ht="18" hidden="1" customHeight="1" x14ac:dyDescent="0.25">
      <c r="A273" s="109" t="s">
        <v>677</v>
      </c>
      <c r="B273" s="22">
        <v>26987</v>
      </c>
      <c r="C273" s="23">
        <v>40000</v>
      </c>
      <c r="D273" s="256" t="s">
        <v>249</v>
      </c>
      <c r="E273" s="22" t="s">
        <v>911</v>
      </c>
      <c r="F273" s="22"/>
      <c r="G273" s="22"/>
      <c r="H273" s="24" t="s">
        <v>37</v>
      </c>
      <c r="I273" s="24" t="s">
        <v>838</v>
      </c>
      <c r="J273" s="24" t="s">
        <v>62</v>
      </c>
      <c r="K273" s="55"/>
      <c r="L273" s="56">
        <v>45534</v>
      </c>
      <c r="M273" s="25"/>
      <c r="N273" s="52" t="s">
        <v>458</v>
      </c>
      <c r="O273" s="380">
        <v>6295</v>
      </c>
      <c r="P273" s="52" t="s">
        <v>80</v>
      </c>
      <c r="Q273" s="381">
        <f t="shared" si="10"/>
        <v>0.15737499999999999</v>
      </c>
      <c r="R273" s="217"/>
      <c r="S273" s="27"/>
      <c r="T273" s="24"/>
      <c r="U273" s="28" t="s">
        <v>66</v>
      </c>
      <c r="V273" s="56">
        <v>45539</v>
      </c>
      <c r="W273" s="55" t="s">
        <v>45</v>
      </c>
      <c r="X273" s="29">
        <v>160000</v>
      </c>
      <c r="Y273" s="24" t="s">
        <v>215</v>
      </c>
      <c r="Z273" s="24"/>
      <c r="AA273" s="78"/>
      <c r="AB273" s="78"/>
      <c r="AC273" s="7">
        <v>45538</v>
      </c>
      <c r="AD273" s="242"/>
      <c r="AE273" s="71">
        <v>45546</v>
      </c>
      <c r="AF273" s="15"/>
      <c r="AG273" s="15"/>
      <c r="AH273" s="15"/>
      <c r="AI273" s="15"/>
      <c r="AJ273" s="15"/>
      <c r="AK273" s="15"/>
      <c r="AL273" s="15"/>
      <c r="AM273" s="15"/>
      <c r="AN273" s="15"/>
      <c r="AO273" s="15"/>
      <c r="AP273" s="15"/>
      <c r="AQ273" s="15"/>
      <c r="AR273" s="15"/>
      <c r="AS273" s="15"/>
      <c r="AT273" s="15"/>
      <c r="AU273" s="15"/>
    </row>
    <row r="274" spans="1:48" s="2" customFormat="1" ht="19.5" hidden="1" customHeight="1" thickBot="1" x14ac:dyDescent="0.3">
      <c r="A274" s="120" t="s">
        <v>382</v>
      </c>
      <c r="B274" s="159">
        <v>26701</v>
      </c>
      <c r="C274" s="5">
        <v>44100</v>
      </c>
      <c r="D274" s="6" t="s">
        <v>105</v>
      </c>
      <c r="E274" s="6" t="s">
        <v>883</v>
      </c>
      <c r="F274" s="4" t="s">
        <v>912</v>
      </c>
      <c r="G274" s="6" t="s">
        <v>36</v>
      </c>
      <c r="H274" s="8" t="s">
        <v>37</v>
      </c>
      <c r="I274" s="8" t="s">
        <v>74</v>
      </c>
      <c r="J274" s="8" t="s">
        <v>75</v>
      </c>
      <c r="K274" s="199"/>
      <c r="L274" s="313">
        <v>45498</v>
      </c>
      <c r="M274" s="7" t="s">
        <v>913</v>
      </c>
      <c r="N274" s="6" t="s">
        <v>40</v>
      </c>
      <c r="O274" s="250">
        <f>7176+400</f>
        <v>7576</v>
      </c>
      <c r="P274" s="6" t="s">
        <v>41</v>
      </c>
      <c r="Q274" s="36">
        <f t="shared" si="10"/>
        <v>0.17179138321995466</v>
      </c>
      <c r="R274" s="7">
        <v>45530</v>
      </c>
      <c r="S274" s="41" t="s">
        <v>65</v>
      </c>
      <c r="T274" s="71">
        <v>45537</v>
      </c>
      <c r="U274" s="46" t="s">
        <v>76</v>
      </c>
      <c r="V274" s="65">
        <v>45539</v>
      </c>
      <c r="W274" s="10" t="s">
        <v>334</v>
      </c>
      <c r="X274" s="114">
        <v>36992</v>
      </c>
      <c r="Y274" s="11" t="s">
        <v>341</v>
      </c>
      <c r="Z274" s="11"/>
      <c r="AA274" s="78"/>
      <c r="AB274" s="71">
        <v>45534</v>
      </c>
      <c r="AC274" s="71">
        <v>45537</v>
      </c>
      <c r="AD274" s="376" t="s">
        <v>914</v>
      </c>
      <c r="AE274" s="71">
        <v>45530</v>
      </c>
      <c r="AF274" s="15"/>
      <c r="AG274" s="15"/>
      <c r="AH274" s="15"/>
      <c r="AI274" s="15"/>
      <c r="AJ274" s="15"/>
      <c r="AK274" s="15"/>
      <c r="AL274" s="15"/>
      <c r="AM274" s="15"/>
      <c r="AN274" s="15"/>
      <c r="AO274" s="15"/>
      <c r="AP274" s="15"/>
      <c r="AQ274" s="15"/>
    </row>
    <row r="275" spans="1:48" s="15" customFormat="1" ht="18" hidden="1" x14ac:dyDescent="0.25">
      <c r="A275" s="209" t="s">
        <v>459</v>
      </c>
      <c r="B275" s="159">
        <v>26129</v>
      </c>
      <c r="C275" s="44">
        <v>44000</v>
      </c>
      <c r="D275" s="167" t="s">
        <v>105</v>
      </c>
      <c r="E275" s="254" t="s">
        <v>154</v>
      </c>
      <c r="F275" s="4" t="s">
        <v>915</v>
      </c>
      <c r="G275" s="6" t="s">
        <v>108</v>
      </c>
      <c r="H275" s="167" t="s">
        <v>51</v>
      </c>
      <c r="I275" s="162" t="s">
        <v>462</v>
      </c>
      <c r="J275" s="162" t="s">
        <v>156</v>
      </c>
      <c r="K275" s="162"/>
      <c r="L275" s="7">
        <v>45461</v>
      </c>
      <c r="M275" s="3"/>
      <c r="N275" s="6" t="s">
        <v>40</v>
      </c>
      <c r="O275" s="250">
        <v>575</v>
      </c>
      <c r="P275" s="6" t="s">
        <v>80</v>
      </c>
      <c r="Q275" s="41">
        <f t="shared" si="10"/>
        <v>1.3068181818181817E-2</v>
      </c>
      <c r="R275" s="65">
        <v>45522</v>
      </c>
      <c r="S275" s="41" t="s">
        <v>121</v>
      </c>
      <c r="T275" s="148">
        <v>45538</v>
      </c>
      <c r="U275" s="46" t="s">
        <v>76</v>
      </c>
      <c r="V275" s="65">
        <v>45539</v>
      </c>
      <c r="W275" s="70" t="s">
        <v>334</v>
      </c>
      <c r="X275" s="236">
        <v>42000</v>
      </c>
      <c r="Y275" s="11" t="s">
        <v>341</v>
      </c>
      <c r="Z275" s="11"/>
      <c r="AA275" s="78"/>
      <c r="AB275" s="71">
        <v>45532</v>
      </c>
      <c r="AC275" s="71">
        <v>45537</v>
      </c>
      <c r="AD275" s="38"/>
      <c r="AE275" s="71">
        <v>45556</v>
      </c>
    </row>
    <row r="276" spans="1:48" s="15" customFormat="1" ht="18" hidden="1" x14ac:dyDescent="0.25">
      <c r="A276" s="16" t="s">
        <v>47</v>
      </c>
      <c r="B276" s="6">
        <v>26836</v>
      </c>
      <c r="C276" s="5">
        <v>55000</v>
      </c>
      <c r="D276" s="6" t="s">
        <v>48</v>
      </c>
      <c r="E276" s="6" t="s">
        <v>899</v>
      </c>
      <c r="F276" s="6" t="s">
        <v>916</v>
      </c>
      <c r="G276" s="6" t="s">
        <v>36</v>
      </c>
      <c r="H276" s="6" t="s">
        <v>51</v>
      </c>
      <c r="I276" s="384"/>
      <c r="J276" s="6" t="s">
        <v>479</v>
      </c>
      <c r="K276" s="45"/>
      <c r="L276" s="65">
        <v>45486</v>
      </c>
      <c r="M276" s="65"/>
      <c r="N276" s="144" t="s">
        <v>40</v>
      </c>
      <c r="O276" s="385">
        <v>575</v>
      </c>
      <c r="P276" s="45" t="s">
        <v>80</v>
      </c>
      <c r="Q276" s="386"/>
      <c r="R276" s="221"/>
      <c r="S276" s="161"/>
      <c r="T276" s="65">
        <v>45534</v>
      </c>
      <c r="U276" s="46" t="s">
        <v>43</v>
      </c>
      <c r="V276" s="65">
        <v>45539</v>
      </c>
      <c r="W276" s="149" t="s">
        <v>334</v>
      </c>
      <c r="X276" s="114">
        <v>24055</v>
      </c>
      <c r="Y276" s="47" t="s">
        <v>341</v>
      </c>
      <c r="Z276" s="47"/>
      <c r="AA276" s="387"/>
      <c r="AB276" s="71">
        <v>45532</v>
      </c>
      <c r="AC276" s="71">
        <v>45535</v>
      </c>
      <c r="AD276" s="38"/>
      <c r="AE276" s="71">
        <v>45542</v>
      </c>
    </row>
    <row r="277" spans="1:48" s="15" customFormat="1" ht="18" hidden="1" x14ac:dyDescent="0.25">
      <c r="A277" s="16" t="s">
        <v>47</v>
      </c>
      <c r="B277" s="6">
        <v>26837</v>
      </c>
      <c r="C277" s="5">
        <v>55000</v>
      </c>
      <c r="D277" s="6" t="s">
        <v>48</v>
      </c>
      <c r="E277" s="6" t="s">
        <v>899</v>
      </c>
      <c r="F277" s="6" t="s">
        <v>917</v>
      </c>
      <c r="G277" s="6" t="s">
        <v>36</v>
      </c>
      <c r="H277" s="6" t="s">
        <v>51</v>
      </c>
      <c r="I277" s="384"/>
      <c r="J277" s="6" t="s">
        <v>479</v>
      </c>
      <c r="K277" s="6"/>
      <c r="L277" s="7">
        <v>45486</v>
      </c>
      <c r="M277" s="7"/>
      <c r="N277" s="73" t="s">
        <v>40</v>
      </c>
      <c r="O277" s="13">
        <v>575</v>
      </c>
      <c r="P277" s="6" t="s">
        <v>80</v>
      </c>
      <c r="Q277" s="19"/>
      <c r="R277" s="219"/>
      <c r="S277" s="36"/>
      <c r="T277" s="7">
        <v>45534</v>
      </c>
      <c r="U277" s="17" t="s">
        <v>43</v>
      </c>
      <c r="V277" s="65">
        <v>45539</v>
      </c>
      <c r="W277" s="10" t="s">
        <v>334</v>
      </c>
      <c r="X277" s="114">
        <v>24055</v>
      </c>
      <c r="Y277" s="11" t="s">
        <v>341</v>
      </c>
      <c r="Z277" s="47"/>
      <c r="AA277" s="387"/>
      <c r="AB277" s="71">
        <v>45532</v>
      </c>
      <c r="AC277" s="71">
        <v>45535</v>
      </c>
      <c r="AD277" s="38"/>
      <c r="AE277" s="71">
        <v>45542</v>
      </c>
    </row>
    <row r="278" spans="1:48" s="3" customFormat="1" ht="18.75" hidden="1" thickBot="1" x14ac:dyDescent="0.3">
      <c r="A278" s="309" t="s">
        <v>179</v>
      </c>
      <c r="B278" s="159">
        <v>26203</v>
      </c>
      <c r="C278" s="68">
        <v>35200</v>
      </c>
      <c r="D278" s="6" t="s">
        <v>105</v>
      </c>
      <c r="E278" s="159" t="s">
        <v>918</v>
      </c>
      <c r="F278" s="4" t="s">
        <v>919</v>
      </c>
      <c r="G278" s="6" t="s">
        <v>108</v>
      </c>
      <c r="H278" s="162" t="s">
        <v>37</v>
      </c>
      <c r="I278" s="162" t="s">
        <v>182</v>
      </c>
      <c r="J278" s="162" t="s">
        <v>183</v>
      </c>
      <c r="K278" s="847"/>
      <c r="L278" s="313">
        <v>45485</v>
      </c>
      <c r="M278" s="7" t="s">
        <v>99</v>
      </c>
      <c r="N278" s="6" t="s">
        <v>40</v>
      </c>
      <c r="O278" s="13">
        <f>7965+450+50+400</f>
        <v>8865</v>
      </c>
      <c r="P278" s="6" t="s">
        <v>41</v>
      </c>
      <c r="Q278" s="36">
        <f>+O278/C278</f>
        <v>0.25184659090909089</v>
      </c>
      <c r="R278" s="7">
        <v>45527</v>
      </c>
      <c r="S278" s="41" t="s">
        <v>65</v>
      </c>
      <c r="T278" s="71">
        <v>45539</v>
      </c>
      <c r="U278" s="67" t="s">
        <v>178</v>
      </c>
      <c r="V278" s="7">
        <v>45541</v>
      </c>
      <c r="W278" s="10" t="s">
        <v>45</v>
      </c>
      <c r="X278" s="236">
        <v>67200</v>
      </c>
      <c r="Y278" s="11" t="s">
        <v>68</v>
      </c>
      <c r="Z278" s="11"/>
      <c r="AA278" s="71">
        <v>45539</v>
      </c>
      <c r="AB278" s="71">
        <v>45539</v>
      </c>
      <c r="AC278" s="71">
        <v>45539</v>
      </c>
      <c r="AE278" s="71">
        <v>45548</v>
      </c>
      <c r="AF278" s="208"/>
      <c r="AG278" s="208"/>
      <c r="AH278" s="208"/>
      <c r="AI278" s="208"/>
      <c r="AJ278" s="208"/>
      <c r="AK278" s="208"/>
      <c r="AL278" s="208"/>
      <c r="AM278" s="208"/>
      <c r="AN278" s="208"/>
      <c r="AO278" s="208"/>
      <c r="AP278" s="208"/>
      <c r="AQ278" s="208"/>
    </row>
    <row r="279" spans="1:48" s="30" customFormat="1" ht="18" hidden="1" x14ac:dyDescent="0.25">
      <c r="A279" s="341" t="s">
        <v>511</v>
      </c>
      <c r="B279" s="31">
        <v>25885</v>
      </c>
      <c r="C279" s="32">
        <v>44000</v>
      </c>
      <c r="D279" s="31" t="s">
        <v>105</v>
      </c>
      <c r="E279" s="31" t="s">
        <v>512</v>
      </c>
      <c r="F279" s="31" t="s">
        <v>920</v>
      </c>
      <c r="G279" s="100" t="s">
        <v>687</v>
      </c>
      <c r="H279" s="33" t="s">
        <v>37</v>
      </c>
      <c r="I279" s="33" t="s">
        <v>97</v>
      </c>
      <c r="J279" s="33" t="s">
        <v>98</v>
      </c>
      <c r="K279" s="33"/>
      <c r="L279" s="102">
        <v>45503</v>
      </c>
      <c r="M279" s="34" t="s">
        <v>99</v>
      </c>
      <c r="N279" s="31"/>
      <c r="O279" s="35">
        <f>2170+50</f>
        <v>2220</v>
      </c>
      <c r="P279" s="31" t="s">
        <v>41</v>
      </c>
      <c r="Q279" s="49">
        <f>+O279/C279</f>
        <v>5.0454545454545453E-2</v>
      </c>
      <c r="R279" s="238"/>
      <c r="S279" s="49"/>
      <c r="T279" s="102">
        <v>45538</v>
      </c>
      <c r="U279" s="42" t="s">
        <v>43</v>
      </c>
      <c r="V279" s="34">
        <v>45544</v>
      </c>
      <c r="W279" s="33" t="s">
        <v>334</v>
      </c>
      <c r="X279" s="62">
        <v>61500</v>
      </c>
      <c r="Y279" s="33" t="s">
        <v>68</v>
      </c>
      <c r="Z279" s="33"/>
      <c r="AA279" s="71">
        <v>45532</v>
      </c>
      <c r="AB279" s="71">
        <v>45534</v>
      </c>
      <c r="AC279" s="71">
        <v>45538</v>
      </c>
      <c r="AD279" s="38"/>
      <c r="AE279" s="71">
        <v>45546</v>
      </c>
      <c r="AF279" s="15"/>
      <c r="AG279" s="15"/>
      <c r="AH279" s="15"/>
      <c r="AI279" s="15"/>
      <c r="AJ279" s="15"/>
      <c r="AK279" s="15"/>
      <c r="AL279" s="15"/>
      <c r="AM279" s="15"/>
      <c r="AN279" s="15"/>
      <c r="AO279" s="15"/>
      <c r="AP279" s="15"/>
      <c r="AQ279" s="15"/>
      <c r="AR279" s="15"/>
      <c r="AS279" s="15"/>
      <c r="AT279" s="15"/>
      <c r="AU279" s="15"/>
    </row>
    <row r="280" spans="1:48" s="15" customFormat="1" ht="18" hidden="1" customHeight="1" thickBot="1" x14ac:dyDescent="0.3">
      <c r="A280" s="209" t="s">
        <v>921</v>
      </c>
      <c r="B280" s="6">
        <v>26976</v>
      </c>
      <c r="C280" s="5">
        <v>44400</v>
      </c>
      <c r="D280" s="6" t="s">
        <v>105</v>
      </c>
      <c r="E280" s="6" t="s">
        <v>922</v>
      </c>
      <c r="F280" s="6" t="s">
        <v>923</v>
      </c>
      <c r="G280" s="6" t="s">
        <v>130</v>
      </c>
      <c r="H280" s="6" t="s">
        <v>51</v>
      </c>
      <c r="I280" s="6" t="s">
        <v>52</v>
      </c>
      <c r="J280" s="6"/>
      <c r="K280" s="167"/>
      <c r="L280" s="313">
        <v>45515</v>
      </c>
      <c r="M280" s="7"/>
      <c r="N280" s="6"/>
      <c r="O280" s="13"/>
      <c r="P280" s="384"/>
      <c r="Q280" s="41"/>
      <c r="R280" s="7">
        <v>45536</v>
      </c>
      <c r="S280" s="41" t="s">
        <v>658</v>
      </c>
      <c r="T280" s="7">
        <v>45544</v>
      </c>
      <c r="U280" s="17" t="s">
        <v>76</v>
      </c>
      <c r="V280" s="7">
        <v>45546</v>
      </c>
      <c r="W280" s="10" t="s">
        <v>45</v>
      </c>
      <c r="X280" s="236">
        <v>63403</v>
      </c>
      <c r="Y280" s="11" t="s">
        <v>341</v>
      </c>
      <c r="Z280" s="11"/>
      <c r="AA280" s="78"/>
      <c r="AB280" s="71">
        <v>45539</v>
      </c>
      <c r="AC280" s="71">
        <v>45545</v>
      </c>
      <c r="AD280" s="40"/>
      <c r="AE280" s="71">
        <v>45556</v>
      </c>
    </row>
    <row r="281" spans="1:48" s="15" customFormat="1" ht="18.75" hidden="1" thickBot="1" x14ac:dyDescent="0.3">
      <c r="A281" s="113" t="s">
        <v>104</v>
      </c>
      <c r="B281" s="6">
        <v>26728</v>
      </c>
      <c r="C281" s="5">
        <v>55000</v>
      </c>
      <c r="D281" s="6" t="s">
        <v>33</v>
      </c>
      <c r="E281" s="6" t="s">
        <v>924</v>
      </c>
      <c r="F281" s="4" t="s">
        <v>925</v>
      </c>
      <c r="G281" s="6" t="s">
        <v>108</v>
      </c>
      <c r="H281" s="6" t="s">
        <v>51</v>
      </c>
      <c r="I281" s="167" t="s">
        <v>52</v>
      </c>
      <c r="J281" s="6" t="s">
        <v>53</v>
      </c>
      <c r="K281" s="167"/>
      <c r="L281" s="313">
        <v>45488</v>
      </c>
      <c r="M281" s="7"/>
      <c r="N281" s="73" t="s">
        <v>40</v>
      </c>
      <c r="O281" s="250">
        <v>575</v>
      </c>
      <c r="P281" s="6" t="s">
        <v>80</v>
      </c>
      <c r="Q281" s="41">
        <f>+O281/C281</f>
        <v>1.0454545454545454E-2</v>
      </c>
      <c r="R281" s="219"/>
      <c r="S281" s="41"/>
      <c r="T281" s="71">
        <v>45544</v>
      </c>
      <c r="U281" s="67" t="s">
        <v>43</v>
      </c>
      <c r="V281" s="7">
        <v>45546</v>
      </c>
      <c r="W281" s="10" t="s">
        <v>45</v>
      </c>
      <c r="X281" s="236">
        <v>56125</v>
      </c>
      <c r="Y281" s="11" t="s">
        <v>341</v>
      </c>
      <c r="Z281" s="171"/>
      <c r="AA281" s="351"/>
      <c r="AB281" s="71">
        <v>45544</v>
      </c>
      <c r="AC281" s="71">
        <v>45546</v>
      </c>
      <c r="AD281" s="38"/>
      <c r="AE281" s="71">
        <v>45556</v>
      </c>
    </row>
    <row r="282" spans="1:48" s="30" customFormat="1" ht="18" hidden="1" customHeight="1" x14ac:dyDescent="0.25">
      <c r="A282" s="109" t="s">
        <v>100</v>
      </c>
      <c r="B282" s="22">
        <v>27131</v>
      </c>
      <c r="C282" s="23">
        <v>12000</v>
      </c>
      <c r="D282" s="22">
        <v>6</v>
      </c>
      <c r="E282" s="22" t="s">
        <v>926</v>
      </c>
      <c r="F282" s="22"/>
      <c r="G282" s="22"/>
      <c r="H282" s="24" t="s">
        <v>164</v>
      </c>
      <c r="I282" s="24" t="s">
        <v>927</v>
      </c>
      <c r="J282" s="24" t="s">
        <v>62</v>
      </c>
      <c r="K282" s="24"/>
      <c r="L282" s="91">
        <v>45539</v>
      </c>
      <c r="M282" s="25"/>
      <c r="N282" s="22" t="s">
        <v>39</v>
      </c>
      <c r="O282" s="26">
        <v>1825</v>
      </c>
      <c r="P282" s="22" t="s">
        <v>80</v>
      </c>
      <c r="Q282" s="381">
        <f>+O282/C282</f>
        <v>0.15208333333333332</v>
      </c>
      <c r="R282" s="217"/>
      <c r="S282" s="27"/>
      <c r="T282" s="24"/>
      <c r="U282" s="28" t="s">
        <v>66</v>
      </c>
      <c r="V282" s="25">
        <v>45546</v>
      </c>
      <c r="W282" s="24" t="s">
        <v>45</v>
      </c>
      <c r="X282" s="29">
        <v>20160</v>
      </c>
      <c r="Y282" s="24" t="s">
        <v>215</v>
      </c>
      <c r="Z282" s="261"/>
      <c r="AA282" s="351"/>
      <c r="AB282" s="351"/>
      <c r="AC282" s="7">
        <v>45543</v>
      </c>
      <c r="AD282" s="6"/>
      <c r="AE282" s="71">
        <v>45555</v>
      </c>
      <c r="AF282" s="15"/>
      <c r="AG282" s="15"/>
      <c r="AH282" s="15"/>
      <c r="AI282" s="15"/>
      <c r="AJ282" s="15"/>
      <c r="AK282" s="15"/>
      <c r="AL282" s="15"/>
      <c r="AM282" s="15"/>
      <c r="AN282" s="15"/>
      <c r="AO282" s="15"/>
      <c r="AP282" s="15"/>
      <c r="AQ282" s="15"/>
      <c r="AR282" s="15"/>
      <c r="AS282" s="15"/>
      <c r="AT282" s="15"/>
      <c r="AU282" s="15"/>
    </row>
    <row r="283" spans="1:48" s="30" customFormat="1" ht="18" hidden="1" customHeight="1" x14ac:dyDescent="0.25">
      <c r="A283" s="109" t="s">
        <v>251</v>
      </c>
      <c r="B283" s="22">
        <v>26549</v>
      </c>
      <c r="C283" s="23">
        <v>40500</v>
      </c>
      <c r="D283" s="22" t="s">
        <v>249</v>
      </c>
      <c r="E283" s="22" t="s">
        <v>828</v>
      </c>
      <c r="F283" s="22"/>
      <c r="G283" s="22"/>
      <c r="H283" s="24" t="s">
        <v>37</v>
      </c>
      <c r="I283" s="24" t="s">
        <v>253</v>
      </c>
      <c r="J283" s="24" t="s">
        <v>62</v>
      </c>
      <c r="K283" s="24"/>
      <c r="L283" s="91">
        <v>45541</v>
      </c>
      <c r="M283" s="25"/>
      <c r="N283" s="22" t="s">
        <v>39</v>
      </c>
      <c r="O283" s="26">
        <v>6300</v>
      </c>
      <c r="P283" s="22" t="s">
        <v>80</v>
      </c>
      <c r="Q283" s="381">
        <f>+O283/C283</f>
        <v>0.15555555555555556</v>
      </c>
      <c r="R283" s="217"/>
      <c r="S283" s="27"/>
      <c r="T283" s="24"/>
      <c r="U283" s="28" t="s">
        <v>66</v>
      </c>
      <c r="V283" s="25">
        <v>45546</v>
      </c>
      <c r="W283" s="24" t="s">
        <v>45</v>
      </c>
      <c r="X283" s="29">
        <v>96555</v>
      </c>
      <c r="Y283" s="24" t="s">
        <v>215</v>
      </c>
      <c r="Z283" s="261"/>
      <c r="AA283" s="351"/>
      <c r="AB283" s="351"/>
      <c r="AC283" s="7">
        <v>45545</v>
      </c>
      <c r="AD283" s="316" t="s">
        <v>806</v>
      </c>
      <c r="AE283" s="71">
        <v>45555</v>
      </c>
      <c r="AF283" s="15"/>
      <c r="AG283" s="15"/>
      <c r="AH283" s="15"/>
      <c r="AI283" s="15"/>
      <c r="AJ283" s="15"/>
      <c r="AK283" s="15"/>
      <c r="AL283" s="15"/>
      <c r="AM283" s="15"/>
      <c r="AN283" s="15"/>
      <c r="AO283" s="15"/>
      <c r="AP283" s="15"/>
      <c r="AQ283" s="15"/>
      <c r="AR283" s="15"/>
      <c r="AS283" s="15"/>
      <c r="AT283" s="15"/>
      <c r="AU283" s="15"/>
    </row>
    <row r="284" spans="1:48" s="30" customFormat="1" ht="18" hidden="1" customHeight="1" x14ac:dyDescent="0.25">
      <c r="A284" s="109" t="s">
        <v>251</v>
      </c>
      <c r="B284" s="22">
        <v>26647</v>
      </c>
      <c r="C284" s="23">
        <v>40500</v>
      </c>
      <c r="D284" s="22" t="s">
        <v>249</v>
      </c>
      <c r="E284" s="22" t="s">
        <v>421</v>
      </c>
      <c r="F284" s="22"/>
      <c r="G284" s="22"/>
      <c r="H284" s="24" t="s">
        <v>37</v>
      </c>
      <c r="I284" s="24" t="s">
        <v>253</v>
      </c>
      <c r="J284" s="24" t="s">
        <v>62</v>
      </c>
      <c r="K284" s="24"/>
      <c r="L284" s="91">
        <v>45539</v>
      </c>
      <c r="M284" s="25"/>
      <c r="N284" s="22" t="s">
        <v>39</v>
      </c>
      <c r="O284" s="26">
        <v>6300</v>
      </c>
      <c r="P284" s="22" t="s">
        <v>80</v>
      </c>
      <c r="Q284" s="381">
        <f>+O284/C284</f>
        <v>0.15555555555555556</v>
      </c>
      <c r="R284" s="217"/>
      <c r="S284" s="27"/>
      <c r="T284" s="24"/>
      <c r="U284" s="28" t="s">
        <v>66</v>
      </c>
      <c r="V284" s="25">
        <v>45547</v>
      </c>
      <c r="W284" s="24" t="s">
        <v>45</v>
      </c>
      <c r="X284" s="29">
        <v>91125</v>
      </c>
      <c r="Y284" s="24" t="s">
        <v>215</v>
      </c>
      <c r="Z284" s="261"/>
      <c r="AA284" s="351"/>
      <c r="AB284" s="351"/>
      <c r="AC284" s="7">
        <v>45543</v>
      </c>
      <c r="AD284" s="316" t="s">
        <v>928</v>
      </c>
      <c r="AE284" s="71">
        <v>45555</v>
      </c>
      <c r="AF284" s="15"/>
      <c r="AG284" s="15"/>
      <c r="AH284" s="15"/>
      <c r="AI284" s="15"/>
      <c r="AJ284" s="15"/>
      <c r="AK284" s="15"/>
      <c r="AL284" s="15"/>
      <c r="AM284" s="15"/>
      <c r="AN284" s="15"/>
      <c r="AO284" s="15"/>
      <c r="AP284" s="15"/>
      <c r="AQ284" s="15"/>
      <c r="AR284" s="15"/>
      <c r="AS284" s="15"/>
      <c r="AT284" s="15"/>
      <c r="AU284" s="15"/>
      <c r="AV284" s="15"/>
    </row>
    <row r="285" spans="1:48" s="30" customFormat="1" ht="18" hidden="1" customHeight="1" x14ac:dyDescent="0.25">
      <c r="A285" s="109" t="s">
        <v>929</v>
      </c>
      <c r="B285" s="22">
        <v>27117</v>
      </c>
      <c r="C285" s="243">
        <v>25450</v>
      </c>
      <c r="D285" s="22">
        <v>13</v>
      </c>
      <c r="E285" s="22" t="s">
        <v>930</v>
      </c>
      <c r="F285" s="22"/>
      <c r="G285" s="22"/>
      <c r="H285" s="24" t="s">
        <v>164</v>
      </c>
      <c r="I285" s="24" t="s">
        <v>931</v>
      </c>
      <c r="J285" s="24" t="s">
        <v>62</v>
      </c>
      <c r="K285" s="24"/>
      <c r="L285" s="91">
        <v>45539</v>
      </c>
      <c r="M285" s="25"/>
      <c r="N285" s="22" t="s">
        <v>791</v>
      </c>
      <c r="O285" s="26">
        <v>6450</v>
      </c>
      <c r="P285" s="22" t="s">
        <v>80</v>
      </c>
      <c r="Q285" s="27">
        <f>+O285/40810</f>
        <v>0.15804949767213919</v>
      </c>
      <c r="R285" s="244"/>
      <c r="S285" s="315"/>
      <c r="T285" s="55"/>
      <c r="U285" s="245" t="s">
        <v>66</v>
      </c>
      <c r="V285" s="25">
        <v>45547</v>
      </c>
      <c r="W285" s="24" t="s">
        <v>45</v>
      </c>
      <c r="X285" s="29">
        <v>61308</v>
      </c>
      <c r="Y285" s="24" t="s">
        <v>215</v>
      </c>
      <c r="Z285" s="261"/>
      <c r="AA285" s="351"/>
      <c r="AB285" s="351"/>
      <c r="AC285" s="71">
        <v>45542</v>
      </c>
      <c r="AD285" s="38"/>
      <c r="AE285" s="71">
        <v>45546</v>
      </c>
      <c r="AF285" s="15"/>
      <c r="AG285" s="15"/>
      <c r="AH285" s="15"/>
      <c r="AI285" s="15"/>
      <c r="AJ285" s="15"/>
      <c r="AK285" s="15"/>
      <c r="AL285" s="15"/>
      <c r="AM285" s="15"/>
      <c r="AN285" s="15"/>
      <c r="AO285" s="15"/>
      <c r="AP285" s="15"/>
      <c r="AQ285" s="15"/>
      <c r="AR285" s="15"/>
      <c r="AS285" s="15"/>
      <c r="AT285" s="15"/>
      <c r="AU285" s="15"/>
      <c r="AV285" s="15"/>
    </row>
    <row r="286" spans="1:48" s="30" customFormat="1" ht="18" hidden="1" customHeight="1" x14ac:dyDescent="0.25">
      <c r="A286" s="21" t="s">
        <v>932</v>
      </c>
      <c r="B286" s="22">
        <v>27339</v>
      </c>
      <c r="C286" s="243">
        <v>15360</v>
      </c>
      <c r="D286" s="22">
        <v>6</v>
      </c>
      <c r="E286" s="22" t="s">
        <v>933</v>
      </c>
      <c r="F286" s="22"/>
      <c r="G286" s="22"/>
      <c r="H286" s="24" t="s">
        <v>37</v>
      </c>
      <c r="I286" s="24" t="s">
        <v>729</v>
      </c>
      <c r="J286" s="24" t="s">
        <v>62</v>
      </c>
      <c r="K286" s="24"/>
      <c r="L286" s="91">
        <v>45539</v>
      </c>
      <c r="M286" s="25"/>
      <c r="N286" s="22" t="s">
        <v>791</v>
      </c>
      <c r="O286" s="26"/>
      <c r="P286" s="22" t="s">
        <v>80</v>
      </c>
      <c r="Q286" s="27">
        <f>+O286/40810</f>
        <v>0</v>
      </c>
      <c r="R286" s="244"/>
      <c r="S286" s="315"/>
      <c r="T286" s="55"/>
      <c r="U286" s="245" t="s">
        <v>66</v>
      </c>
      <c r="V286" s="25">
        <v>45547</v>
      </c>
      <c r="W286" s="24" t="s">
        <v>45</v>
      </c>
      <c r="X286" s="29">
        <v>19200</v>
      </c>
      <c r="Y286" s="24" t="s">
        <v>215</v>
      </c>
      <c r="Z286" s="261"/>
      <c r="AA286" s="351"/>
      <c r="AB286" s="351"/>
      <c r="AC286" s="71">
        <v>45542</v>
      </c>
      <c r="AD286" s="38"/>
      <c r="AE286" s="71">
        <v>45546</v>
      </c>
      <c r="AF286" s="15"/>
      <c r="AG286" s="15"/>
      <c r="AH286" s="15"/>
      <c r="AI286" s="15"/>
      <c r="AJ286" s="15"/>
      <c r="AK286" s="15"/>
      <c r="AL286" s="15"/>
      <c r="AM286" s="15"/>
      <c r="AN286" s="15"/>
      <c r="AO286" s="15"/>
      <c r="AP286" s="15"/>
      <c r="AQ286" s="15"/>
      <c r="AR286" s="15"/>
      <c r="AS286" s="15"/>
      <c r="AT286" s="15"/>
      <c r="AU286" s="15"/>
      <c r="AV286" s="15"/>
    </row>
    <row r="287" spans="1:48" s="30" customFormat="1" ht="18" hidden="1" customHeight="1" x14ac:dyDescent="0.25">
      <c r="A287" s="21" t="s">
        <v>800</v>
      </c>
      <c r="B287" s="22">
        <v>27427</v>
      </c>
      <c r="C287" s="23">
        <v>45000</v>
      </c>
      <c r="D287" s="256" t="s">
        <v>249</v>
      </c>
      <c r="E287" s="22" t="s">
        <v>934</v>
      </c>
      <c r="F287" s="22"/>
      <c r="G287" s="22"/>
      <c r="H287" s="24" t="s">
        <v>164</v>
      </c>
      <c r="I287" s="24" t="s">
        <v>935</v>
      </c>
      <c r="J287" s="24" t="s">
        <v>62</v>
      </c>
      <c r="K287" s="24"/>
      <c r="L287" s="91">
        <v>45545</v>
      </c>
      <c r="M287" s="25"/>
      <c r="N287" s="52" t="s">
        <v>742</v>
      </c>
      <c r="O287" s="380">
        <v>1655</v>
      </c>
      <c r="P287" s="52" t="s">
        <v>80</v>
      </c>
      <c r="Q287" s="381">
        <f t="shared" ref="Q287:Q296" si="11">+O287/C287</f>
        <v>3.6777777777777777E-2</v>
      </c>
      <c r="R287" s="217"/>
      <c r="S287" s="27"/>
      <c r="T287" s="24"/>
      <c r="U287" s="28" t="s">
        <v>66</v>
      </c>
      <c r="V287" s="56">
        <v>45547</v>
      </c>
      <c r="W287" s="55" t="s">
        <v>45</v>
      </c>
      <c r="X287" s="29">
        <v>35700</v>
      </c>
      <c r="Y287" s="24" t="s">
        <v>215</v>
      </c>
      <c r="Z287" s="24"/>
      <c r="AA287" s="78"/>
      <c r="AB287" s="78"/>
      <c r="AC287" s="71">
        <v>45545</v>
      </c>
      <c r="AD287" s="242"/>
      <c r="AE287" s="71">
        <v>45551</v>
      </c>
      <c r="AF287" s="15"/>
      <c r="AG287" s="15"/>
      <c r="AH287" s="15"/>
      <c r="AI287" s="15"/>
      <c r="AJ287" s="15"/>
      <c r="AK287" s="15"/>
      <c r="AL287" s="15"/>
      <c r="AM287" s="15"/>
      <c r="AN287" s="15"/>
      <c r="AO287" s="15"/>
      <c r="AP287" s="15"/>
      <c r="AQ287" s="15"/>
      <c r="AR287" s="15"/>
      <c r="AS287" s="15"/>
      <c r="AT287" s="15"/>
      <c r="AU287" s="15"/>
      <c r="AV287" s="15"/>
    </row>
    <row r="288" spans="1:48" s="15" customFormat="1" ht="18.75" hidden="1" thickBot="1" x14ac:dyDescent="0.3">
      <c r="A288" s="16" t="s">
        <v>936</v>
      </c>
      <c r="B288" s="6">
        <v>26133</v>
      </c>
      <c r="C288" s="5">
        <v>55000</v>
      </c>
      <c r="D288" s="6" t="s">
        <v>33</v>
      </c>
      <c r="E288" s="6" t="s">
        <v>640</v>
      </c>
      <c r="F288" s="4" t="s">
        <v>937</v>
      </c>
      <c r="G288" s="6" t="s">
        <v>36</v>
      </c>
      <c r="H288" s="11" t="s">
        <v>164</v>
      </c>
      <c r="I288" s="11" t="s">
        <v>281</v>
      </c>
      <c r="J288" s="11" t="s">
        <v>120</v>
      </c>
      <c r="K288" s="171"/>
      <c r="L288" s="313">
        <v>45499</v>
      </c>
      <c r="M288" s="7" t="s">
        <v>913</v>
      </c>
      <c r="N288" s="6" t="s">
        <v>40</v>
      </c>
      <c r="O288" s="41">
        <f>8985+400</f>
        <v>9385</v>
      </c>
      <c r="P288" s="6" t="s">
        <v>41</v>
      </c>
      <c r="Q288" s="36">
        <f t="shared" si="11"/>
        <v>0.17063636363636364</v>
      </c>
      <c r="R288" s="7">
        <v>45531</v>
      </c>
      <c r="S288" s="41" t="s">
        <v>65</v>
      </c>
      <c r="T288" s="7">
        <v>45547</v>
      </c>
      <c r="U288" s="46" t="s">
        <v>76</v>
      </c>
      <c r="V288" s="7">
        <v>45548</v>
      </c>
      <c r="W288" s="10" t="s">
        <v>45</v>
      </c>
      <c r="X288" s="114">
        <f>195250-19525</f>
        <v>175725</v>
      </c>
      <c r="Y288" s="11" t="s">
        <v>68</v>
      </c>
      <c r="Z288" s="11"/>
      <c r="AA288" s="71">
        <v>45545</v>
      </c>
      <c r="AB288" s="71">
        <v>45546</v>
      </c>
      <c r="AC288" s="71">
        <v>45547</v>
      </c>
      <c r="AD288" s="48"/>
      <c r="AE288" s="71">
        <v>45536</v>
      </c>
    </row>
    <row r="289" spans="1:48" s="2" customFormat="1" ht="19.5" hidden="1" customHeight="1" thickBot="1" x14ac:dyDescent="0.3">
      <c r="A289" s="120" t="s">
        <v>382</v>
      </c>
      <c r="B289" s="159">
        <v>26700</v>
      </c>
      <c r="C289" s="5">
        <v>44100</v>
      </c>
      <c r="D289" s="6" t="s">
        <v>105</v>
      </c>
      <c r="E289" s="6" t="s">
        <v>883</v>
      </c>
      <c r="F289" s="4" t="s">
        <v>938</v>
      </c>
      <c r="G289" s="6" t="s">
        <v>36</v>
      </c>
      <c r="H289" s="8" t="s">
        <v>37</v>
      </c>
      <c r="I289" s="8" t="s">
        <v>74</v>
      </c>
      <c r="J289" s="8" t="s">
        <v>75</v>
      </c>
      <c r="K289" s="199"/>
      <c r="L289" s="313">
        <v>45498</v>
      </c>
      <c r="M289" s="7" t="s">
        <v>913</v>
      </c>
      <c r="N289" s="6" t="s">
        <v>939</v>
      </c>
      <c r="O289" s="41">
        <f>7176+400</f>
        <v>7576</v>
      </c>
      <c r="P289" s="6" t="s">
        <v>41</v>
      </c>
      <c r="Q289" s="36">
        <f t="shared" si="11"/>
        <v>0.17179138321995466</v>
      </c>
      <c r="R289" s="7">
        <v>45530</v>
      </c>
      <c r="S289" s="41" t="s">
        <v>65</v>
      </c>
      <c r="T289" s="7">
        <v>45547</v>
      </c>
      <c r="U289" s="46" t="s">
        <v>76</v>
      </c>
      <c r="V289" s="7">
        <v>45552</v>
      </c>
      <c r="W289" s="10" t="s">
        <v>334</v>
      </c>
      <c r="X289" s="114">
        <v>36992</v>
      </c>
      <c r="Y289" s="11" t="s">
        <v>341</v>
      </c>
      <c r="Z289" s="11"/>
      <c r="AA289" s="78"/>
      <c r="AB289" s="71">
        <v>45534</v>
      </c>
      <c r="AC289" s="71">
        <v>45537</v>
      </c>
      <c r="AD289" s="376" t="s">
        <v>914</v>
      </c>
      <c r="AE289" s="71">
        <v>45530</v>
      </c>
      <c r="AF289" s="15"/>
      <c r="AG289" s="15"/>
      <c r="AH289" s="15"/>
      <c r="AI289" s="15"/>
      <c r="AJ289" s="15"/>
      <c r="AK289" s="15"/>
      <c r="AL289" s="15"/>
      <c r="AM289" s="15"/>
      <c r="AN289" s="15"/>
      <c r="AO289" s="15"/>
      <c r="AP289" s="15"/>
      <c r="AQ289" s="15"/>
      <c r="AR289" s="15"/>
    </row>
    <row r="290" spans="1:48" s="15" customFormat="1" ht="18.75" hidden="1" thickBot="1" x14ac:dyDescent="0.3">
      <c r="A290" s="152" t="s">
        <v>32</v>
      </c>
      <c r="B290" s="45">
        <v>26612</v>
      </c>
      <c r="C290" s="44">
        <v>44000</v>
      </c>
      <c r="D290" s="45" t="s">
        <v>105</v>
      </c>
      <c r="E290" s="45" t="s">
        <v>940</v>
      </c>
      <c r="F290" s="4" t="s">
        <v>941</v>
      </c>
      <c r="G290" s="6" t="s">
        <v>369</v>
      </c>
      <c r="H290" s="47" t="s">
        <v>37</v>
      </c>
      <c r="I290" s="47" t="s">
        <v>942</v>
      </c>
      <c r="J290" s="47" t="s">
        <v>38</v>
      </c>
      <c r="K290" s="195"/>
      <c r="L290" s="313">
        <v>45500</v>
      </c>
      <c r="M290" s="65" t="s">
        <v>99</v>
      </c>
      <c r="N290" s="6" t="s">
        <v>939</v>
      </c>
      <c r="O290" s="41">
        <f>2510+50+400</f>
        <v>2960</v>
      </c>
      <c r="P290" s="45" t="s">
        <v>41</v>
      </c>
      <c r="Q290" s="36">
        <f t="shared" si="11"/>
        <v>6.7272727272727276E-2</v>
      </c>
      <c r="R290" s="71">
        <v>45533</v>
      </c>
      <c r="S290" s="154" t="s">
        <v>121</v>
      </c>
      <c r="T290" s="7">
        <v>45548</v>
      </c>
      <c r="U290" s="17" t="s">
        <v>76</v>
      </c>
      <c r="V290" s="7">
        <v>45552</v>
      </c>
      <c r="W290" s="47" t="s">
        <v>45</v>
      </c>
      <c r="X290" s="236">
        <v>68100</v>
      </c>
      <c r="Y290" s="47" t="s">
        <v>341</v>
      </c>
      <c r="Z290" s="47"/>
      <c r="AA290" s="78"/>
      <c r="AB290" s="71">
        <v>45533</v>
      </c>
      <c r="AC290" s="71">
        <v>45548</v>
      </c>
      <c r="AD290" s="38"/>
      <c r="AE290" s="71">
        <v>45552</v>
      </c>
    </row>
    <row r="291" spans="1:48" s="15" customFormat="1" ht="18.75" hidden="1" thickBot="1" x14ac:dyDescent="0.3">
      <c r="A291" s="209" t="s">
        <v>279</v>
      </c>
      <c r="B291" s="6">
        <v>26478</v>
      </c>
      <c r="C291" s="5">
        <v>35000</v>
      </c>
      <c r="D291" s="6" t="s">
        <v>105</v>
      </c>
      <c r="E291" s="6" t="s">
        <v>888</v>
      </c>
      <c r="F291" s="4" t="s">
        <v>943</v>
      </c>
      <c r="G291" s="6" t="s">
        <v>36</v>
      </c>
      <c r="H291" s="11" t="s">
        <v>37</v>
      </c>
      <c r="I291" s="11" t="s">
        <v>281</v>
      </c>
      <c r="J291" s="11" t="s">
        <v>120</v>
      </c>
      <c r="K291" s="171"/>
      <c r="L291" s="313">
        <v>45499</v>
      </c>
      <c r="M291" s="7" t="s">
        <v>913</v>
      </c>
      <c r="N291" s="6" t="s">
        <v>40</v>
      </c>
      <c r="O291" s="41">
        <f>6856+400</f>
        <v>7256</v>
      </c>
      <c r="P291" s="6" t="s">
        <v>41</v>
      </c>
      <c r="Q291" s="36">
        <f t="shared" si="11"/>
        <v>0.2073142857142857</v>
      </c>
      <c r="R291" s="7">
        <v>45531</v>
      </c>
      <c r="S291" s="41" t="s">
        <v>65</v>
      </c>
      <c r="T291" s="65">
        <v>45551</v>
      </c>
      <c r="U291" s="46" t="s">
        <v>76</v>
      </c>
      <c r="V291" s="7">
        <v>45553</v>
      </c>
      <c r="W291" s="10" t="s">
        <v>334</v>
      </c>
      <c r="X291" s="114">
        <f>85750</f>
        <v>85750</v>
      </c>
      <c r="Y291" s="11" t="s">
        <v>68</v>
      </c>
      <c r="Z291" s="11"/>
      <c r="AA291" s="7">
        <v>45510</v>
      </c>
      <c r="AB291" s="7">
        <v>45527</v>
      </c>
      <c r="AC291" s="7">
        <v>45551</v>
      </c>
      <c r="AD291" s="6" t="s">
        <v>944</v>
      </c>
      <c r="AE291" s="71">
        <v>45530</v>
      </c>
    </row>
    <row r="292" spans="1:48" s="2" customFormat="1" ht="36.75" hidden="1" thickBot="1" x14ac:dyDescent="0.3">
      <c r="A292" s="113" t="s">
        <v>506</v>
      </c>
      <c r="B292" s="116" t="s">
        <v>945</v>
      </c>
      <c r="C292" s="5">
        <f>27000*2</f>
        <v>54000</v>
      </c>
      <c r="D292" s="6" t="s">
        <v>33</v>
      </c>
      <c r="E292" s="116" t="s">
        <v>946</v>
      </c>
      <c r="F292" s="4" t="s">
        <v>947</v>
      </c>
      <c r="G292" s="6" t="s">
        <v>130</v>
      </c>
      <c r="H292" s="70" t="s">
        <v>37</v>
      </c>
      <c r="I292" s="70" t="s">
        <v>412</v>
      </c>
      <c r="J292" s="70" t="s">
        <v>413</v>
      </c>
      <c r="K292" s="138"/>
      <c r="L292" s="313">
        <v>45488</v>
      </c>
      <c r="M292" s="11" t="s">
        <v>99</v>
      </c>
      <c r="N292" s="6" t="s">
        <v>40</v>
      </c>
      <c r="O292" s="41">
        <f>9820+50+400</f>
        <v>10270</v>
      </c>
      <c r="P292" s="6" t="s">
        <v>41</v>
      </c>
      <c r="Q292" s="36">
        <f t="shared" si="11"/>
        <v>0.19018518518518518</v>
      </c>
      <c r="R292" s="7">
        <v>45536</v>
      </c>
      <c r="S292" s="41" t="s">
        <v>65</v>
      </c>
      <c r="T292" s="7">
        <v>45552</v>
      </c>
      <c r="U292" s="6" t="s">
        <v>178</v>
      </c>
      <c r="V292" s="7">
        <v>45553</v>
      </c>
      <c r="W292" s="10" t="s">
        <v>45</v>
      </c>
      <c r="X292" s="114">
        <f>26190+27000</f>
        <v>53190</v>
      </c>
      <c r="Y292" s="11" t="s">
        <v>68</v>
      </c>
      <c r="Z292" s="11"/>
      <c r="AA292" s="7">
        <v>45551</v>
      </c>
      <c r="AB292" s="7">
        <v>45552</v>
      </c>
      <c r="AC292" s="7">
        <v>45552</v>
      </c>
      <c r="AD292" s="388">
        <f>+'SHIPMENT RECEIVED 2024-2025'!X293+X292</f>
        <v>93631</v>
      </c>
      <c r="AE292" s="71">
        <v>45548</v>
      </c>
    </row>
    <row r="293" spans="1:48" s="30" customFormat="1" ht="18" hidden="1" x14ac:dyDescent="0.25">
      <c r="A293" s="341" t="s">
        <v>948</v>
      </c>
      <c r="B293" s="31">
        <v>27003</v>
      </c>
      <c r="C293" s="32">
        <v>55000</v>
      </c>
      <c r="D293" s="31" t="s">
        <v>33</v>
      </c>
      <c r="E293" s="31" t="s">
        <v>949</v>
      </c>
      <c r="F293" s="31" t="s">
        <v>950</v>
      </c>
      <c r="G293" s="100" t="s">
        <v>36</v>
      </c>
      <c r="H293" s="33" t="s">
        <v>37</v>
      </c>
      <c r="I293" s="33" t="s">
        <v>74</v>
      </c>
      <c r="J293" s="33" t="s">
        <v>75</v>
      </c>
      <c r="K293" s="33"/>
      <c r="L293" s="102">
        <v>45513</v>
      </c>
      <c r="M293" s="34" t="s">
        <v>39</v>
      </c>
      <c r="N293" s="31" t="s">
        <v>939</v>
      </c>
      <c r="O293" s="35">
        <f>8585+400</f>
        <v>8985</v>
      </c>
      <c r="P293" s="31" t="s">
        <v>41</v>
      </c>
      <c r="Q293" s="49">
        <f t="shared" si="11"/>
        <v>0.16336363636363635</v>
      </c>
      <c r="R293" s="102">
        <v>45539</v>
      </c>
      <c r="S293" s="258" t="s">
        <v>65</v>
      </c>
      <c r="T293" s="34">
        <v>45551</v>
      </c>
      <c r="U293" s="42" t="s">
        <v>76</v>
      </c>
      <c r="V293" s="34">
        <v>45554</v>
      </c>
      <c r="W293" s="33" t="s">
        <v>951</v>
      </c>
      <c r="X293" s="389">
        <f>52035-11594</f>
        <v>40441</v>
      </c>
      <c r="Y293" s="33" t="s">
        <v>341</v>
      </c>
      <c r="Z293" s="33"/>
      <c r="AA293" s="78"/>
      <c r="AB293" s="7">
        <v>45553</v>
      </c>
      <c r="AC293" s="7">
        <v>45551</v>
      </c>
      <c r="AD293" s="38"/>
      <c r="AE293" s="71">
        <v>45536</v>
      </c>
      <c r="AF293" s="15"/>
      <c r="AG293" s="15"/>
      <c r="AH293" s="15"/>
      <c r="AI293" s="15"/>
      <c r="AJ293" s="15"/>
      <c r="AK293" s="15"/>
      <c r="AL293" s="15"/>
      <c r="AM293" s="15"/>
      <c r="AN293" s="15"/>
      <c r="AO293" s="15"/>
      <c r="AP293" s="15"/>
      <c r="AQ293" s="15"/>
      <c r="AR293" s="15"/>
      <c r="AS293" s="15"/>
      <c r="AT293" s="15"/>
      <c r="AU293" s="15"/>
      <c r="AV293" s="15"/>
    </row>
    <row r="294" spans="1:48" s="2" customFormat="1" ht="18.75" hidden="1" thickBot="1" x14ac:dyDescent="0.3">
      <c r="A294" s="113" t="s">
        <v>506</v>
      </c>
      <c r="B294" s="6">
        <v>25506</v>
      </c>
      <c r="C294" s="5">
        <v>55000</v>
      </c>
      <c r="D294" s="6" t="s">
        <v>33</v>
      </c>
      <c r="E294" s="116" t="s">
        <v>952</v>
      </c>
      <c r="F294" s="4" t="s">
        <v>953</v>
      </c>
      <c r="G294" s="6" t="s">
        <v>130</v>
      </c>
      <c r="H294" s="70" t="s">
        <v>37</v>
      </c>
      <c r="I294" s="70" t="s">
        <v>412</v>
      </c>
      <c r="J294" s="70" t="s">
        <v>413</v>
      </c>
      <c r="K294" s="138"/>
      <c r="L294" s="313">
        <v>45488</v>
      </c>
      <c r="M294" s="11" t="s">
        <v>99</v>
      </c>
      <c r="N294" s="6" t="s">
        <v>40</v>
      </c>
      <c r="O294" s="41">
        <f>9820+50+400</f>
        <v>10270</v>
      </c>
      <c r="P294" s="6" t="s">
        <v>41</v>
      </c>
      <c r="Q294" s="36">
        <f t="shared" si="11"/>
        <v>0.18672727272727271</v>
      </c>
      <c r="R294" s="7">
        <v>45536</v>
      </c>
      <c r="S294" s="41" t="s">
        <v>65</v>
      </c>
      <c r="T294" s="7">
        <v>45552</v>
      </c>
      <c r="U294" s="6" t="s">
        <v>178</v>
      </c>
      <c r="V294" s="7">
        <v>45554</v>
      </c>
      <c r="W294" s="10" t="s">
        <v>334</v>
      </c>
      <c r="X294" s="114">
        <v>43740</v>
      </c>
      <c r="Y294" s="11" t="s">
        <v>68</v>
      </c>
      <c r="Z294" s="11"/>
      <c r="AA294" s="7">
        <v>45552</v>
      </c>
      <c r="AB294" s="7">
        <v>45553</v>
      </c>
      <c r="AC294" s="7">
        <v>45552</v>
      </c>
      <c r="AD294" s="96"/>
      <c r="AE294" s="71">
        <v>45548</v>
      </c>
    </row>
    <row r="295" spans="1:48" s="3" customFormat="1" ht="18" hidden="1" x14ac:dyDescent="0.25">
      <c r="A295" s="209" t="s">
        <v>241</v>
      </c>
      <c r="B295" s="159">
        <v>26177</v>
      </c>
      <c r="C295" s="390">
        <v>55150</v>
      </c>
      <c r="D295" s="6" t="s">
        <v>797</v>
      </c>
      <c r="E295" s="6" t="s">
        <v>954</v>
      </c>
      <c r="F295" s="159" t="s">
        <v>955</v>
      </c>
      <c r="G295" s="159" t="s">
        <v>36</v>
      </c>
      <c r="H295" s="6" t="s">
        <v>51</v>
      </c>
      <c r="I295" s="159" t="s">
        <v>52</v>
      </c>
      <c r="J295" s="162" t="s">
        <v>75</v>
      </c>
      <c r="K295" s="162"/>
      <c r="L295" s="7">
        <v>45520</v>
      </c>
      <c r="N295" s="6" t="s">
        <v>40</v>
      </c>
      <c r="O295" s="250">
        <v>575</v>
      </c>
      <c r="P295" s="6" t="s">
        <v>80</v>
      </c>
      <c r="Q295" s="41">
        <f t="shared" si="11"/>
        <v>1.042611060743427E-2</v>
      </c>
      <c r="R295" s="7">
        <v>45540</v>
      </c>
      <c r="S295" s="156" t="s">
        <v>65</v>
      </c>
      <c r="T295" s="7">
        <v>45552</v>
      </c>
      <c r="U295" s="46" t="s">
        <v>76</v>
      </c>
      <c r="V295" s="7">
        <v>45554</v>
      </c>
      <c r="W295" s="149" t="s">
        <v>45</v>
      </c>
      <c r="X295" s="114">
        <v>52500</v>
      </c>
      <c r="Y295" s="11" t="s">
        <v>341</v>
      </c>
      <c r="Z295" s="171"/>
      <c r="AA295" s="351"/>
      <c r="AB295" s="7">
        <v>45553</v>
      </c>
      <c r="AC295" s="7">
        <v>45552</v>
      </c>
      <c r="AE295" s="71">
        <v>45560</v>
      </c>
      <c r="AF295" s="208"/>
      <c r="AG295" s="208"/>
      <c r="AH295" s="208"/>
      <c r="AI295" s="208"/>
      <c r="AJ295" s="208"/>
      <c r="AK295" s="208"/>
      <c r="AL295" s="208"/>
      <c r="AM295" s="208"/>
      <c r="AN295" s="208"/>
      <c r="AO295" s="208"/>
      <c r="AP295" s="208"/>
      <c r="AQ295" s="208"/>
      <c r="AR295" s="208"/>
    </row>
    <row r="296" spans="1:48" s="350" customFormat="1" ht="17.25" hidden="1" customHeight="1" x14ac:dyDescent="0.25">
      <c r="A296" s="391" t="s">
        <v>956</v>
      </c>
      <c r="B296" s="6">
        <v>26689</v>
      </c>
      <c r="C296" s="5">
        <v>19841.400000000001</v>
      </c>
      <c r="D296" s="6" t="s">
        <v>33</v>
      </c>
      <c r="E296" s="6" t="s">
        <v>957</v>
      </c>
      <c r="F296" s="6" t="s">
        <v>958</v>
      </c>
      <c r="G296" s="6" t="s">
        <v>119</v>
      </c>
      <c r="H296" s="8" t="s">
        <v>37</v>
      </c>
      <c r="I296" s="8"/>
      <c r="J296" s="8" t="s">
        <v>98</v>
      </c>
      <c r="K296" s="8"/>
      <c r="L296" s="7">
        <v>45527</v>
      </c>
      <c r="M296" s="7" t="s">
        <v>99</v>
      </c>
      <c r="N296" s="73" t="s">
        <v>40</v>
      </c>
      <c r="O296" s="13">
        <f>2560+400</f>
        <v>2960</v>
      </c>
      <c r="P296" s="6" t="s">
        <v>41</v>
      </c>
      <c r="Q296" s="19">
        <f t="shared" si="11"/>
        <v>0.14918302135937986</v>
      </c>
      <c r="R296" s="219"/>
      <c r="S296" s="41"/>
      <c r="T296" s="7">
        <v>45553</v>
      </c>
      <c r="U296" s="67" t="s">
        <v>43</v>
      </c>
      <c r="V296" s="7">
        <v>45555</v>
      </c>
      <c r="W296" s="10" t="s">
        <v>45</v>
      </c>
      <c r="X296" s="114">
        <f>31800-9000+1500</f>
        <v>24300</v>
      </c>
      <c r="Y296" s="11" t="s">
        <v>341</v>
      </c>
      <c r="Z296" s="11"/>
      <c r="AA296" s="78"/>
      <c r="AB296" s="7">
        <v>45554</v>
      </c>
      <c r="AC296" s="7">
        <v>45554</v>
      </c>
      <c r="AD296" s="392"/>
      <c r="AE296" s="71">
        <v>45596</v>
      </c>
    </row>
    <row r="297" spans="1:48" s="15" customFormat="1" ht="17.25" hidden="1" customHeight="1" x14ac:dyDescent="0.25">
      <c r="A297" s="152" t="s">
        <v>287</v>
      </c>
      <c r="B297" s="45">
        <v>27028</v>
      </c>
      <c r="C297" s="44">
        <v>2200</v>
      </c>
      <c r="D297" s="45"/>
      <c r="E297" s="45" t="s">
        <v>959</v>
      </c>
      <c r="F297" s="45"/>
      <c r="G297" s="45"/>
      <c r="H297" s="393" t="s">
        <v>37</v>
      </c>
      <c r="I297" s="393" t="s">
        <v>97</v>
      </c>
      <c r="J297" s="393" t="s">
        <v>98</v>
      </c>
      <c r="K297" s="393"/>
      <c r="L297" s="7"/>
      <c r="M297" s="65"/>
      <c r="N297" s="144"/>
      <c r="O297" s="385"/>
      <c r="P297" s="45"/>
      <c r="Q297" s="386"/>
      <c r="R297" s="221"/>
      <c r="S297" s="154"/>
      <c r="T297" s="7">
        <v>45553</v>
      </c>
      <c r="U297" s="146" t="s">
        <v>43</v>
      </c>
      <c r="V297" s="7">
        <v>45555</v>
      </c>
      <c r="W297" s="149" t="s">
        <v>45</v>
      </c>
      <c r="X297" s="114">
        <v>9100</v>
      </c>
      <c r="Y297" s="47" t="s">
        <v>341</v>
      </c>
      <c r="Z297" s="47"/>
      <c r="AA297" s="7">
        <v>45552</v>
      </c>
      <c r="AB297" s="7">
        <v>45554</v>
      </c>
      <c r="AC297" s="7">
        <v>45554</v>
      </c>
      <c r="AD297" s="48"/>
      <c r="AE297" s="71">
        <v>45596</v>
      </c>
    </row>
    <row r="298" spans="1:48" s="15" customFormat="1" ht="17.25" hidden="1" customHeight="1" thickBot="1" x14ac:dyDescent="0.3">
      <c r="A298" s="394" t="s">
        <v>576</v>
      </c>
      <c r="B298" s="6">
        <v>26969</v>
      </c>
      <c r="C298" s="5">
        <v>2204.6</v>
      </c>
      <c r="D298" s="6"/>
      <c r="E298" s="6" t="s">
        <v>960</v>
      </c>
      <c r="F298" s="6"/>
      <c r="G298" s="6"/>
      <c r="H298" s="8" t="s">
        <v>37</v>
      </c>
      <c r="I298" s="8"/>
      <c r="J298" s="8" t="s">
        <v>98</v>
      </c>
      <c r="K298" s="8"/>
      <c r="L298" s="7"/>
      <c r="M298" s="7"/>
      <c r="N298" s="73"/>
      <c r="O298" s="13"/>
      <c r="P298" s="6"/>
      <c r="Q298" s="19"/>
      <c r="R298" s="219"/>
      <c r="S298" s="41"/>
      <c r="T298" s="7">
        <v>45553</v>
      </c>
      <c r="U298" s="67" t="s">
        <v>43</v>
      </c>
      <c r="V298" s="7">
        <v>45555</v>
      </c>
      <c r="W298" s="10" t="s">
        <v>45</v>
      </c>
      <c r="X298" s="114">
        <v>33500</v>
      </c>
      <c r="Y298" s="369" t="s">
        <v>341</v>
      </c>
      <c r="Z298" s="171"/>
      <c r="AA298" s="351"/>
      <c r="AB298" s="7">
        <v>45554</v>
      </c>
      <c r="AC298" s="7">
        <v>45554</v>
      </c>
      <c r="AD298" s="395"/>
      <c r="AE298" s="71">
        <v>45596</v>
      </c>
    </row>
    <row r="299" spans="1:48" s="30" customFormat="1" ht="18" hidden="1" customHeight="1" thickTop="1" x14ac:dyDescent="0.25">
      <c r="A299" s="210" t="s">
        <v>718</v>
      </c>
      <c r="B299" s="31">
        <v>26906</v>
      </c>
      <c r="C299" s="32">
        <v>40000</v>
      </c>
      <c r="D299" s="31" t="s">
        <v>249</v>
      </c>
      <c r="E299" s="31" t="s">
        <v>865</v>
      </c>
      <c r="F299" s="31" t="s">
        <v>961</v>
      </c>
      <c r="G299" s="31"/>
      <c r="H299" s="33" t="s">
        <v>37</v>
      </c>
      <c r="I299" s="33" t="s">
        <v>720</v>
      </c>
      <c r="J299" s="33" t="s">
        <v>62</v>
      </c>
      <c r="K299" s="33"/>
      <c r="L299" s="102">
        <v>45546</v>
      </c>
      <c r="M299" s="34"/>
      <c r="N299" s="31" t="s">
        <v>434</v>
      </c>
      <c r="O299" s="35">
        <f>3660*1.2075</f>
        <v>4419.45</v>
      </c>
      <c r="P299" s="31" t="s">
        <v>41</v>
      </c>
      <c r="Q299" s="49">
        <f>+O299/C299</f>
        <v>0.11048624999999999</v>
      </c>
      <c r="R299" s="238"/>
      <c r="S299" s="49"/>
      <c r="T299" s="34">
        <v>45551</v>
      </c>
      <c r="U299" s="100" t="s">
        <v>66</v>
      </c>
      <c r="V299" s="34">
        <v>45555</v>
      </c>
      <c r="W299" s="33" t="s">
        <v>962</v>
      </c>
      <c r="X299" s="50">
        <v>90000</v>
      </c>
      <c r="Y299" s="33" t="s">
        <v>215</v>
      </c>
      <c r="Z299" s="33"/>
      <c r="AA299" s="78"/>
      <c r="AB299" s="78"/>
      <c r="AC299" s="7">
        <v>45553</v>
      </c>
      <c r="AD299" s="38"/>
      <c r="AE299" s="71">
        <v>45546</v>
      </c>
      <c r="AF299" s="15"/>
      <c r="AG299" s="15"/>
      <c r="AH299" s="15"/>
      <c r="AI299" s="15"/>
      <c r="AJ299" s="15"/>
      <c r="AK299" s="15"/>
      <c r="AL299" s="15"/>
      <c r="AM299" s="15"/>
      <c r="AN299" s="15"/>
      <c r="AO299" s="15"/>
      <c r="AP299" s="15"/>
      <c r="AQ299" s="15"/>
      <c r="AR299" s="15"/>
      <c r="AS299" s="15"/>
      <c r="AT299" s="15"/>
      <c r="AU299" s="15"/>
      <c r="AV299" s="15"/>
    </row>
    <row r="300" spans="1:48" s="2" customFormat="1" ht="18.75" hidden="1" thickBot="1" x14ac:dyDescent="0.3">
      <c r="A300" s="152" t="s">
        <v>179</v>
      </c>
      <c r="B300" s="45">
        <v>26563</v>
      </c>
      <c r="C300" s="44">
        <f>850*44</f>
        <v>37400</v>
      </c>
      <c r="D300" s="45" t="s">
        <v>105</v>
      </c>
      <c r="E300" s="153" t="s">
        <v>963</v>
      </c>
      <c r="F300" s="165" t="s">
        <v>964</v>
      </c>
      <c r="G300" s="45" t="s">
        <v>36</v>
      </c>
      <c r="H300" s="150" t="s">
        <v>37</v>
      </c>
      <c r="I300" s="150" t="s">
        <v>182</v>
      </c>
      <c r="J300" s="150" t="s">
        <v>183</v>
      </c>
      <c r="K300" s="742"/>
      <c r="L300" s="397">
        <v>45502</v>
      </c>
      <c r="M300" s="47" t="s">
        <v>414</v>
      </c>
      <c r="N300" s="45" t="s">
        <v>939</v>
      </c>
      <c r="O300" s="154">
        <f>8091+62.5+400</f>
        <v>8553.5</v>
      </c>
      <c r="P300" s="45" t="s">
        <v>41</v>
      </c>
      <c r="Q300" s="161">
        <f>+O300/C300</f>
        <v>0.22870320855614973</v>
      </c>
      <c r="R300" s="65">
        <v>45539</v>
      </c>
      <c r="S300" s="154" t="s">
        <v>65</v>
      </c>
      <c r="T300" s="65">
        <v>45551</v>
      </c>
      <c r="U300" s="46" t="s">
        <v>76</v>
      </c>
      <c r="V300" s="65">
        <v>45558</v>
      </c>
      <c r="W300" s="149" t="s">
        <v>45</v>
      </c>
      <c r="X300" s="114">
        <v>61800</v>
      </c>
      <c r="Y300" s="11" t="s">
        <v>68</v>
      </c>
      <c r="Z300" s="11"/>
      <c r="AA300" s="7">
        <v>45555</v>
      </c>
      <c r="AB300" s="7">
        <v>45555</v>
      </c>
      <c r="AC300" s="7">
        <v>45551</v>
      </c>
      <c r="AD300" s="96"/>
      <c r="AE300" s="71">
        <v>45558</v>
      </c>
    </row>
    <row r="301" spans="1:48" s="30" customFormat="1" ht="18" hidden="1" x14ac:dyDescent="0.25">
      <c r="A301" s="21" t="s">
        <v>560</v>
      </c>
      <c r="B301" s="22">
        <v>27305</v>
      </c>
      <c r="C301" s="246">
        <v>30575</v>
      </c>
      <c r="D301" s="256" t="s">
        <v>249</v>
      </c>
      <c r="E301" s="22" t="s">
        <v>965</v>
      </c>
      <c r="F301" s="22"/>
      <c r="G301" s="22"/>
      <c r="H301" s="24" t="s">
        <v>37</v>
      </c>
      <c r="I301" s="24" t="s">
        <v>741</v>
      </c>
      <c r="J301" s="24" t="s">
        <v>62</v>
      </c>
      <c r="K301" s="24"/>
      <c r="L301" s="91">
        <v>45553</v>
      </c>
      <c r="M301" s="25"/>
      <c r="N301" s="22" t="s">
        <v>357</v>
      </c>
      <c r="O301" s="247">
        <v>2195</v>
      </c>
      <c r="P301" s="22" t="s">
        <v>80</v>
      </c>
      <c r="Q301" s="259">
        <f>+O301/C301</f>
        <v>7.1790678659035156E-2</v>
      </c>
      <c r="R301" s="217"/>
      <c r="S301" s="27"/>
      <c r="T301" s="24"/>
      <c r="U301" s="245" t="s">
        <v>66</v>
      </c>
      <c r="V301" s="25">
        <v>45558</v>
      </c>
      <c r="W301" s="24" t="s">
        <v>45</v>
      </c>
      <c r="X301" s="248">
        <v>52285</v>
      </c>
      <c r="Y301" s="24" t="s">
        <v>215</v>
      </c>
      <c r="Z301" s="24"/>
      <c r="AA301" s="78"/>
      <c r="AB301" s="78"/>
      <c r="AC301" s="7">
        <v>45554</v>
      </c>
      <c r="AD301" s="38"/>
      <c r="AE301" s="71">
        <v>45562</v>
      </c>
      <c r="AF301" s="15"/>
      <c r="AG301" s="15"/>
      <c r="AH301" s="15"/>
      <c r="AI301" s="15"/>
      <c r="AJ301" s="15"/>
      <c r="AK301" s="15"/>
      <c r="AL301" s="15"/>
      <c r="AM301" s="15"/>
      <c r="AN301" s="15"/>
      <c r="AO301" s="15"/>
      <c r="AP301" s="15"/>
      <c r="AQ301" s="15"/>
      <c r="AR301" s="15"/>
      <c r="AS301" s="15"/>
      <c r="AT301" s="15"/>
      <c r="AU301" s="15"/>
      <c r="AV301" s="15"/>
    </row>
    <row r="302" spans="1:48" s="2" customFormat="1" ht="18" hidden="1" x14ac:dyDescent="0.25">
      <c r="A302" s="209" t="s">
        <v>241</v>
      </c>
      <c r="B302" s="159">
        <v>26960</v>
      </c>
      <c r="C302" s="249">
        <v>55150</v>
      </c>
      <c r="D302" s="167" t="s">
        <v>797</v>
      </c>
      <c r="E302" s="167" t="s">
        <v>966</v>
      </c>
      <c r="F302" s="159" t="s">
        <v>967</v>
      </c>
      <c r="G302" s="159" t="s">
        <v>36</v>
      </c>
      <c r="H302" s="167" t="s">
        <v>109</v>
      </c>
      <c r="I302" s="159" t="s">
        <v>52</v>
      </c>
      <c r="J302" s="162" t="s">
        <v>75</v>
      </c>
      <c r="K302" s="162"/>
      <c r="L302" s="7">
        <v>45520</v>
      </c>
      <c r="M302" s="3"/>
      <c r="N302" s="6" t="s">
        <v>939</v>
      </c>
      <c r="O302" s="250">
        <v>575</v>
      </c>
      <c r="P302" s="6" t="s">
        <v>80</v>
      </c>
      <c r="Q302" s="41">
        <f>+O302/C302</f>
        <v>1.042611060743427E-2</v>
      </c>
      <c r="R302" s="7">
        <v>45540</v>
      </c>
      <c r="S302" s="156" t="s">
        <v>65</v>
      </c>
      <c r="T302" s="7">
        <v>45554</v>
      </c>
      <c r="U302" s="46" t="s">
        <v>76</v>
      </c>
      <c r="V302" s="7">
        <v>45558</v>
      </c>
      <c r="W302" s="149" t="s">
        <v>45</v>
      </c>
      <c r="X302" s="114">
        <v>50874</v>
      </c>
      <c r="Y302" s="11" t="s">
        <v>341</v>
      </c>
      <c r="Z302" s="171"/>
      <c r="AA302" s="351"/>
      <c r="AB302" s="7">
        <v>45555</v>
      </c>
      <c r="AC302" s="7">
        <v>45554</v>
      </c>
      <c r="AD302" s="376"/>
      <c r="AE302" s="71">
        <v>45560</v>
      </c>
      <c r="AF302" s="15"/>
      <c r="AG302" s="15"/>
      <c r="AH302" s="15"/>
      <c r="AI302" s="15"/>
      <c r="AJ302" s="15"/>
      <c r="AK302" s="15"/>
      <c r="AL302" s="15"/>
      <c r="AM302" s="15"/>
      <c r="AN302" s="15"/>
      <c r="AO302" s="15"/>
      <c r="AP302" s="15"/>
      <c r="AQ302" s="15"/>
      <c r="AR302" s="15"/>
    </row>
    <row r="303" spans="1:48" s="30" customFormat="1" ht="18" hidden="1" x14ac:dyDescent="0.25">
      <c r="A303" s="21" t="s">
        <v>968</v>
      </c>
      <c r="B303" s="22">
        <v>27531</v>
      </c>
      <c r="C303" s="246">
        <v>16800</v>
      </c>
      <c r="D303" s="22" t="s">
        <v>264</v>
      </c>
      <c r="E303" s="22" t="s">
        <v>969</v>
      </c>
      <c r="F303" s="22"/>
      <c r="G303" s="22"/>
      <c r="H303" s="24" t="s">
        <v>164</v>
      </c>
      <c r="I303" s="24" t="s">
        <v>340</v>
      </c>
      <c r="J303" s="24" t="s">
        <v>62</v>
      </c>
      <c r="K303" s="24"/>
      <c r="L303" s="255">
        <v>45558</v>
      </c>
      <c r="M303" s="25"/>
      <c r="N303" s="22" t="s">
        <v>357</v>
      </c>
      <c r="O303" s="247">
        <v>950</v>
      </c>
      <c r="P303" s="22" t="s">
        <v>80</v>
      </c>
      <c r="Q303" s="259">
        <f>+O303/C303</f>
        <v>5.6547619047619048E-2</v>
      </c>
      <c r="R303" s="217"/>
      <c r="S303" s="27"/>
      <c r="T303" s="24"/>
      <c r="U303" s="245" t="s">
        <v>66</v>
      </c>
      <c r="V303" s="25">
        <v>45559</v>
      </c>
      <c r="W303" s="24" t="s">
        <v>45</v>
      </c>
      <c r="X303" s="248">
        <v>29904</v>
      </c>
      <c r="Y303" s="24" t="s">
        <v>215</v>
      </c>
      <c r="Z303" s="24"/>
      <c r="AA303" s="78"/>
      <c r="AB303" s="78"/>
      <c r="AC303" s="7">
        <v>45558</v>
      </c>
      <c r="AD303" s="38"/>
      <c r="AE303" s="257"/>
      <c r="AF303" s="15"/>
      <c r="AG303" s="15"/>
      <c r="AH303" s="15"/>
      <c r="AI303" s="15"/>
      <c r="AJ303" s="15"/>
      <c r="AK303" s="15"/>
      <c r="AL303" s="15"/>
      <c r="AM303" s="15"/>
      <c r="AN303" s="15"/>
      <c r="AO303" s="15"/>
      <c r="AP303" s="15"/>
      <c r="AQ303" s="15"/>
      <c r="AR303" s="15"/>
      <c r="AS303" s="15"/>
      <c r="AT303" s="15"/>
      <c r="AU303" s="15"/>
      <c r="AV303" s="15"/>
    </row>
    <row r="304" spans="1:48" s="30" customFormat="1" ht="18" hidden="1" x14ac:dyDescent="0.25">
      <c r="A304" s="109" t="s">
        <v>392</v>
      </c>
      <c r="B304" s="22">
        <v>27512</v>
      </c>
      <c r="C304" s="23">
        <v>25750</v>
      </c>
      <c r="D304" s="884" t="s">
        <v>249</v>
      </c>
      <c r="E304" s="22" t="s">
        <v>778</v>
      </c>
      <c r="F304" s="22"/>
      <c r="G304" s="22"/>
      <c r="H304" s="24" t="s">
        <v>37</v>
      </c>
      <c r="I304" s="24" t="s">
        <v>394</v>
      </c>
      <c r="J304" s="24" t="s">
        <v>53</v>
      </c>
      <c r="K304" s="24"/>
      <c r="L304" s="255">
        <v>45559</v>
      </c>
      <c r="M304" s="25"/>
      <c r="N304" s="22"/>
      <c r="O304" s="26"/>
      <c r="P304" s="22"/>
      <c r="Q304" s="27"/>
      <c r="R304" s="217"/>
      <c r="S304" s="27"/>
      <c r="T304" s="24"/>
      <c r="U304" s="28" t="s">
        <v>66</v>
      </c>
      <c r="V304" s="25">
        <v>45559</v>
      </c>
      <c r="W304" s="24" t="s">
        <v>45</v>
      </c>
      <c r="X304" s="29">
        <v>61728</v>
      </c>
      <c r="Y304" s="24" t="s">
        <v>215</v>
      </c>
      <c r="Z304" s="261"/>
      <c r="AA304" s="351"/>
      <c r="AB304" s="351"/>
      <c r="AC304" s="351"/>
      <c r="AD304" s="6"/>
      <c r="AE304" s="71" t="s">
        <v>378</v>
      </c>
      <c r="AF304" s="15"/>
      <c r="AG304" s="15"/>
      <c r="AH304" s="15"/>
      <c r="AI304" s="15"/>
      <c r="AJ304" s="15"/>
      <c r="AK304" s="15"/>
      <c r="AL304" s="15"/>
      <c r="AM304" s="15"/>
      <c r="AN304" s="15"/>
      <c r="AO304" s="15"/>
      <c r="AP304" s="15"/>
      <c r="AQ304" s="15"/>
      <c r="AR304" s="15"/>
      <c r="AS304" s="15"/>
      <c r="AT304" s="15"/>
      <c r="AU304" s="15"/>
      <c r="AV304" s="15"/>
    </row>
    <row r="305" spans="1:48" s="30" customFormat="1" ht="18" hidden="1" x14ac:dyDescent="0.25">
      <c r="A305" s="109" t="s">
        <v>392</v>
      </c>
      <c r="B305" s="22">
        <v>27513</v>
      </c>
      <c r="C305" s="23">
        <v>18304</v>
      </c>
      <c r="D305" s="885"/>
      <c r="E305" s="22" t="s">
        <v>789</v>
      </c>
      <c r="F305" s="22"/>
      <c r="G305" s="22"/>
      <c r="H305" s="24" t="s">
        <v>37</v>
      </c>
      <c r="I305" s="24" t="s">
        <v>394</v>
      </c>
      <c r="J305" s="24" t="s">
        <v>53</v>
      </c>
      <c r="K305" s="24"/>
      <c r="L305" s="255">
        <v>45559</v>
      </c>
      <c r="M305" s="25"/>
      <c r="N305" s="22"/>
      <c r="O305" s="26"/>
      <c r="P305" s="22"/>
      <c r="Q305" s="27"/>
      <c r="R305" s="217"/>
      <c r="S305" s="27"/>
      <c r="T305" s="24"/>
      <c r="U305" s="28" t="s">
        <v>66</v>
      </c>
      <c r="V305" s="25">
        <v>45559</v>
      </c>
      <c r="W305" s="24" t="s">
        <v>45</v>
      </c>
      <c r="X305" s="29">
        <v>47715</v>
      </c>
      <c r="Y305" s="24" t="s">
        <v>215</v>
      </c>
      <c r="Z305" s="261"/>
      <c r="AA305" s="351"/>
      <c r="AB305" s="351"/>
      <c r="AC305" s="351"/>
      <c r="AD305" s="6"/>
      <c r="AE305" s="71" t="s">
        <v>378</v>
      </c>
      <c r="AF305" s="15"/>
      <c r="AG305" s="15"/>
      <c r="AH305" s="15"/>
      <c r="AI305" s="15"/>
      <c r="AJ305" s="15"/>
      <c r="AK305" s="15"/>
      <c r="AL305" s="15"/>
      <c r="AM305" s="15"/>
      <c r="AN305" s="15"/>
      <c r="AO305" s="15"/>
      <c r="AP305" s="15"/>
      <c r="AQ305" s="15"/>
      <c r="AR305" s="15"/>
      <c r="AS305" s="15"/>
      <c r="AT305" s="15"/>
      <c r="AU305" s="15"/>
      <c r="AV305" s="15"/>
    </row>
    <row r="306" spans="1:48" s="15" customFormat="1" ht="18.75" hidden="1" thickBot="1" x14ac:dyDescent="0.3">
      <c r="A306" s="209" t="s">
        <v>69</v>
      </c>
      <c r="B306" s="6">
        <v>26959</v>
      </c>
      <c r="C306" s="5">
        <v>44092</v>
      </c>
      <c r="D306" s="881" t="s">
        <v>48</v>
      </c>
      <c r="E306" s="6" t="s">
        <v>970</v>
      </c>
      <c r="F306" s="6" t="s">
        <v>971</v>
      </c>
      <c r="G306" s="6" t="s">
        <v>602</v>
      </c>
      <c r="H306" s="6" t="s">
        <v>51</v>
      </c>
      <c r="I306" s="11" t="s">
        <v>74</v>
      </c>
      <c r="J306" s="6" t="s">
        <v>75</v>
      </c>
      <c r="K306" s="167"/>
      <c r="L306" s="313">
        <v>45515</v>
      </c>
      <c r="M306" s="7"/>
      <c r="N306" s="73" t="s">
        <v>40</v>
      </c>
      <c r="O306" s="13">
        <v>575</v>
      </c>
      <c r="P306" s="6" t="s">
        <v>80</v>
      </c>
      <c r="Q306" s="19">
        <f>+O306/C306</f>
        <v>1.3040914451601198E-2</v>
      </c>
      <c r="R306" s="7">
        <v>45539</v>
      </c>
      <c r="S306" s="41" t="s">
        <v>65</v>
      </c>
      <c r="T306" s="7">
        <v>45557</v>
      </c>
      <c r="U306" s="46" t="s">
        <v>76</v>
      </c>
      <c r="V306" s="65">
        <v>45560</v>
      </c>
      <c r="W306" s="10" t="s">
        <v>45</v>
      </c>
      <c r="X306" s="114">
        <v>74840</v>
      </c>
      <c r="Y306" s="11" t="s">
        <v>341</v>
      </c>
      <c r="Z306" s="171"/>
      <c r="AA306" s="351"/>
      <c r="AB306" s="370"/>
      <c r="AC306" s="7">
        <v>45557</v>
      </c>
      <c r="AD306" s="38"/>
      <c r="AE306" s="257"/>
    </row>
    <row r="307" spans="1:48" s="15" customFormat="1" ht="18.75" hidden="1" thickBot="1" x14ac:dyDescent="0.3">
      <c r="A307" s="209" t="s">
        <v>207</v>
      </c>
      <c r="B307" s="6">
        <v>26994</v>
      </c>
      <c r="C307" s="5">
        <v>11023</v>
      </c>
      <c r="D307" s="882"/>
      <c r="E307" s="6" t="s">
        <v>972</v>
      </c>
      <c r="F307" s="6"/>
      <c r="G307" s="6"/>
      <c r="H307" s="6" t="s">
        <v>51</v>
      </c>
      <c r="I307" s="11" t="s">
        <v>74</v>
      </c>
      <c r="J307" s="6" t="s">
        <v>75</v>
      </c>
      <c r="K307" s="167"/>
      <c r="L307" s="313">
        <v>45515</v>
      </c>
      <c r="M307" s="7"/>
      <c r="N307" s="6"/>
      <c r="O307" s="250"/>
      <c r="P307" s="6"/>
      <c r="Q307" s="36"/>
      <c r="R307" s="7">
        <v>45539</v>
      </c>
      <c r="S307" s="41" t="s">
        <v>65</v>
      </c>
      <c r="T307" s="7">
        <v>45557</v>
      </c>
      <c r="U307" s="46" t="s">
        <v>76</v>
      </c>
      <c r="V307" s="65">
        <v>45560</v>
      </c>
      <c r="W307" s="10" t="s">
        <v>45</v>
      </c>
      <c r="X307" s="114">
        <v>9850</v>
      </c>
      <c r="Y307" s="11" t="s">
        <v>341</v>
      </c>
      <c r="Z307" s="171"/>
      <c r="AA307" s="351"/>
      <c r="AB307" s="370"/>
      <c r="AC307" s="7">
        <v>45557</v>
      </c>
      <c r="AD307" s="38"/>
      <c r="AE307" s="257"/>
    </row>
    <row r="308" spans="1:48" s="15" customFormat="1" ht="18.75" hidden="1" thickBot="1" x14ac:dyDescent="0.3">
      <c r="A308" s="209" t="s">
        <v>424</v>
      </c>
      <c r="B308" s="6">
        <v>26865</v>
      </c>
      <c r="C308" s="5">
        <v>46848</v>
      </c>
      <c r="D308" s="6" t="s">
        <v>105</v>
      </c>
      <c r="E308" s="6" t="s">
        <v>973</v>
      </c>
      <c r="F308" s="4" t="s">
        <v>974</v>
      </c>
      <c r="G308" s="6" t="s">
        <v>108</v>
      </c>
      <c r="H308" s="6" t="s">
        <v>109</v>
      </c>
      <c r="I308" s="6"/>
      <c r="J308" s="6" t="s">
        <v>171</v>
      </c>
      <c r="K308" s="167"/>
      <c r="L308" s="313">
        <v>45498</v>
      </c>
      <c r="M308" s="7"/>
      <c r="N308" s="73" t="s">
        <v>40</v>
      </c>
      <c r="O308" s="13">
        <v>575</v>
      </c>
      <c r="P308" s="6" t="s">
        <v>80</v>
      </c>
      <c r="Q308" s="19">
        <f t="shared" ref="Q308:Q317" si="12">+O308/C308</f>
        <v>1.2273736338797815E-2</v>
      </c>
      <c r="R308" s="219"/>
      <c r="S308" s="36"/>
      <c r="T308" s="7">
        <v>45553</v>
      </c>
      <c r="U308" s="17" t="s">
        <v>43</v>
      </c>
      <c r="V308" s="7">
        <v>45561</v>
      </c>
      <c r="W308" s="10" t="s">
        <v>334</v>
      </c>
      <c r="X308" s="114">
        <v>56831</v>
      </c>
      <c r="Y308" s="11" t="s">
        <v>341</v>
      </c>
      <c r="Z308" s="11"/>
      <c r="AA308" s="78"/>
      <c r="AB308" s="7">
        <v>45558</v>
      </c>
      <c r="AC308" s="7">
        <v>45554</v>
      </c>
      <c r="AD308" s="38"/>
      <c r="AE308" s="257"/>
    </row>
    <row r="309" spans="1:48" s="15" customFormat="1" ht="18.75" hidden="1" thickBot="1" x14ac:dyDescent="0.3">
      <c r="A309" s="209" t="s">
        <v>424</v>
      </c>
      <c r="B309" s="6">
        <v>26866</v>
      </c>
      <c r="C309" s="5">
        <v>46848</v>
      </c>
      <c r="D309" s="6" t="s">
        <v>105</v>
      </c>
      <c r="E309" s="6" t="s">
        <v>973</v>
      </c>
      <c r="F309" s="4" t="s">
        <v>975</v>
      </c>
      <c r="G309" s="6" t="s">
        <v>108</v>
      </c>
      <c r="H309" s="6" t="s">
        <v>109</v>
      </c>
      <c r="I309" s="6"/>
      <c r="J309" s="6" t="s">
        <v>171</v>
      </c>
      <c r="K309" s="167"/>
      <c r="L309" s="313">
        <v>45498</v>
      </c>
      <c r="M309" s="7"/>
      <c r="N309" s="73" t="s">
        <v>40</v>
      </c>
      <c r="O309" s="13">
        <v>575</v>
      </c>
      <c r="P309" s="6" t="s">
        <v>80</v>
      </c>
      <c r="Q309" s="19">
        <f t="shared" si="12"/>
        <v>1.2273736338797815E-2</v>
      </c>
      <c r="R309" s="219"/>
      <c r="S309" s="36"/>
      <c r="T309" s="7">
        <v>45553</v>
      </c>
      <c r="U309" s="17" t="s">
        <v>43</v>
      </c>
      <c r="V309" s="7">
        <v>45561</v>
      </c>
      <c r="W309" s="10" t="s">
        <v>334</v>
      </c>
      <c r="X309" s="114">
        <v>56831</v>
      </c>
      <c r="Y309" s="11" t="s">
        <v>341</v>
      </c>
      <c r="Z309" s="11"/>
      <c r="AA309" s="78"/>
      <c r="AB309" s="7">
        <v>45558</v>
      </c>
      <c r="AC309" s="7">
        <v>45554</v>
      </c>
      <c r="AD309" s="38"/>
      <c r="AE309" s="257"/>
    </row>
    <row r="310" spans="1:48" s="15" customFormat="1" ht="18.75" hidden="1" thickBot="1" x14ac:dyDescent="0.3">
      <c r="A310" s="372" t="s">
        <v>948</v>
      </c>
      <c r="B310" s="45">
        <v>26808</v>
      </c>
      <c r="C310" s="44">
        <v>55000</v>
      </c>
      <c r="D310" s="45" t="s">
        <v>33</v>
      </c>
      <c r="E310" s="45" t="s">
        <v>976</v>
      </c>
      <c r="F310" s="45" t="s">
        <v>977</v>
      </c>
      <c r="G310" s="165" t="s">
        <v>119</v>
      </c>
      <c r="H310" s="45" t="s">
        <v>109</v>
      </c>
      <c r="I310" s="6" t="s">
        <v>52</v>
      </c>
      <c r="J310" s="45" t="s">
        <v>75</v>
      </c>
      <c r="K310" s="187"/>
      <c r="L310" s="397">
        <v>45504</v>
      </c>
      <c r="M310" s="65"/>
      <c r="N310" s="45" t="s">
        <v>40</v>
      </c>
      <c r="O310" s="377">
        <v>575</v>
      </c>
      <c r="P310" s="45" t="s">
        <v>80</v>
      </c>
      <c r="Q310" s="154">
        <f t="shared" si="12"/>
        <v>1.0454545454545454E-2</v>
      </c>
      <c r="R310" s="65">
        <v>45543</v>
      </c>
      <c r="S310" s="154" t="s">
        <v>65</v>
      </c>
      <c r="T310" s="148">
        <v>45557</v>
      </c>
      <c r="U310" s="46" t="s">
        <v>178</v>
      </c>
      <c r="V310" s="65">
        <v>45560</v>
      </c>
      <c r="W310" s="149" t="s">
        <v>334</v>
      </c>
      <c r="X310" s="398">
        <f>57970-11594</f>
        <v>46376</v>
      </c>
      <c r="Y310" s="399" t="s">
        <v>341</v>
      </c>
      <c r="Z310" s="195"/>
      <c r="AA310" s="351"/>
      <c r="AB310" s="7">
        <v>45553</v>
      </c>
      <c r="AC310" s="7">
        <v>45557</v>
      </c>
      <c r="AD310" s="48"/>
      <c r="AE310" s="257"/>
    </row>
    <row r="311" spans="1:48" s="15" customFormat="1" ht="18.75" hidden="1" thickBot="1" x14ac:dyDescent="0.3">
      <c r="A311" s="209" t="s">
        <v>978</v>
      </c>
      <c r="B311" s="6">
        <v>26863</v>
      </c>
      <c r="C311" s="5">
        <v>35000</v>
      </c>
      <c r="D311" s="6" t="s">
        <v>105</v>
      </c>
      <c r="E311" s="6" t="s">
        <v>640</v>
      </c>
      <c r="F311" s="159" t="s">
        <v>979</v>
      </c>
      <c r="G311" s="6" t="s">
        <v>108</v>
      </c>
      <c r="H311" s="11" t="s">
        <v>37</v>
      </c>
      <c r="I311" s="11" t="s">
        <v>281</v>
      </c>
      <c r="J311" s="11" t="s">
        <v>120</v>
      </c>
      <c r="K311" s="171"/>
      <c r="L311" s="313">
        <v>45503</v>
      </c>
      <c r="M311" s="7" t="s">
        <v>99</v>
      </c>
      <c r="N311" s="6" t="s">
        <v>40</v>
      </c>
      <c r="O311" s="41">
        <f>7580+400</f>
        <v>7980</v>
      </c>
      <c r="P311" s="6" t="s">
        <v>41</v>
      </c>
      <c r="Q311" s="36">
        <f t="shared" si="12"/>
        <v>0.22800000000000001</v>
      </c>
      <c r="R311" s="7">
        <v>45543</v>
      </c>
      <c r="S311" s="41" t="s">
        <v>65</v>
      </c>
      <c r="T311" s="7">
        <v>45555</v>
      </c>
      <c r="U311" s="6" t="s">
        <v>178</v>
      </c>
      <c r="V311" s="7">
        <v>45560</v>
      </c>
      <c r="W311" s="10" t="s">
        <v>45</v>
      </c>
      <c r="X311" s="114">
        <v>137200</v>
      </c>
      <c r="Y311" s="11" t="s">
        <v>341</v>
      </c>
      <c r="Z311" s="11"/>
      <c r="AA311" s="78"/>
      <c r="AB311" s="7">
        <v>45560</v>
      </c>
      <c r="AC311" s="7">
        <v>45555</v>
      </c>
      <c r="AD311" s="48"/>
      <c r="AE311" s="71">
        <v>45544</v>
      </c>
    </row>
    <row r="312" spans="1:48" s="2" customFormat="1" ht="19.5" hidden="1" customHeight="1" thickBot="1" x14ac:dyDescent="0.3">
      <c r="A312" s="9" t="s">
        <v>506</v>
      </c>
      <c r="B312" s="4">
        <v>25513</v>
      </c>
      <c r="C312" s="5">
        <v>55000</v>
      </c>
      <c r="D312" s="4" t="s">
        <v>33</v>
      </c>
      <c r="E312" s="12" t="s">
        <v>952</v>
      </c>
      <c r="F312" s="4" t="s">
        <v>980</v>
      </c>
      <c r="G312" s="6" t="s">
        <v>130</v>
      </c>
      <c r="H312" s="8" t="s">
        <v>37</v>
      </c>
      <c r="I312" s="8" t="s">
        <v>412</v>
      </c>
      <c r="J312" s="8" t="s">
        <v>413</v>
      </c>
      <c r="K312" s="199"/>
      <c r="L312" s="313">
        <v>45488</v>
      </c>
      <c r="M312" s="11" t="s">
        <v>99</v>
      </c>
      <c r="N312" s="73" t="s">
        <v>40</v>
      </c>
      <c r="O312" s="377">
        <f>9820+50+400</f>
        <v>10270</v>
      </c>
      <c r="P312" s="4" t="s">
        <v>41</v>
      </c>
      <c r="Q312" s="36">
        <f t="shared" si="12"/>
        <v>0.18672727272727271</v>
      </c>
      <c r="R312" s="7">
        <v>45536</v>
      </c>
      <c r="S312" s="41" t="s">
        <v>65</v>
      </c>
      <c r="T312" s="7">
        <v>45552</v>
      </c>
      <c r="U312" s="6" t="s">
        <v>178</v>
      </c>
      <c r="V312" s="7">
        <v>45562</v>
      </c>
      <c r="W312" s="10" t="s">
        <v>334</v>
      </c>
      <c r="X312" s="114">
        <v>43740</v>
      </c>
      <c r="Y312" s="8" t="s">
        <v>68</v>
      </c>
      <c r="Z312" s="8"/>
      <c r="AA312" s="7">
        <v>45552</v>
      </c>
      <c r="AB312" s="7">
        <v>45560</v>
      </c>
      <c r="AC312" s="7">
        <v>45559</v>
      </c>
      <c r="AD312" s="37"/>
      <c r="AE312" s="71">
        <v>45548</v>
      </c>
      <c r="AF312" s="15"/>
      <c r="AG312" s="15"/>
      <c r="AH312" s="15"/>
      <c r="AI312" s="15"/>
      <c r="AJ312" s="15"/>
      <c r="AK312" s="15"/>
      <c r="AL312" s="15"/>
      <c r="AM312" s="15"/>
      <c r="AN312" s="15"/>
      <c r="AO312" s="15"/>
      <c r="AP312" s="15"/>
      <c r="AQ312" s="15"/>
      <c r="AR312" s="15"/>
    </row>
    <row r="313" spans="1:48" s="3" customFormat="1" ht="18.75" hidden="1" thickBot="1" x14ac:dyDescent="0.3">
      <c r="A313" s="400" t="s">
        <v>287</v>
      </c>
      <c r="B313" s="401">
        <v>26682</v>
      </c>
      <c r="C313" s="44">
        <v>15400</v>
      </c>
      <c r="D313" s="187" t="s">
        <v>105</v>
      </c>
      <c r="E313" s="402" t="s">
        <v>981</v>
      </c>
      <c r="F313" s="165" t="s">
        <v>982</v>
      </c>
      <c r="G313" s="165" t="s">
        <v>119</v>
      </c>
      <c r="H313" s="45" t="s">
        <v>37</v>
      </c>
      <c r="I313" s="393" t="s">
        <v>52</v>
      </c>
      <c r="J313" s="375" t="s">
        <v>98</v>
      </c>
      <c r="K313" s="848"/>
      <c r="L313" s="397">
        <v>45494</v>
      </c>
      <c r="M313" s="393" t="s">
        <v>99</v>
      </c>
      <c r="N313" s="45" t="s">
        <v>40</v>
      </c>
      <c r="O313" s="377">
        <f>2170+50+400</f>
        <v>2620</v>
      </c>
      <c r="P313" s="45" t="s">
        <v>41</v>
      </c>
      <c r="Q313" s="403">
        <f t="shared" si="12"/>
        <v>0.17012987012987013</v>
      </c>
      <c r="R313" s="65"/>
      <c r="S313" s="154"/>
      <c r="T313" s="148">
        <v>45558</v>
      </c>
      <c r="U313" s="146" t="s">
        <v>43</v>
      </c>
      <c r="V313" s="7">
        <v>45562</v>
      </c>
      <c r="W313" s="149" t="s">
        <v>45</v>
      </c>
      <c r="X313" s="114">
        <v>19315</v>
      </c>
      <c r="Y313" s="47" t="s">
        <v>341</v>
      </c>
      <c r="Z313" s="47"/>
      <c r="AA313" s="7">
        <v>45553</v>
      </c>
      <c r="AB313" s="7">
        <v>45559</v>
      </c>
      <c r="AC313" s="7">
        <v>45562</v>
      </c>
      <c r="AD313" s="376"/>
      <c r="AE313" s="71">
        <v>45561</v>
      </c>
      <c r="AF313" s="208"/>
      <c r="AG313" s="208"/>
      <c r="AH313" s="208"/>
      <c r="AI313" s="208"/>
      <c r="AJ313" s="208"/>
      <c r="AK313" s="208"/>
      <c r="AL313" s="208"/>
      <c r="AM313" s="208"/>
      <c r="AN313" s="208"/>
      <c r="AO313" s="208"/>
      <c r="AP313" s="208"/>
      <c r="AQ313" s="208"/>
      <c r="AR313" s="208"/>
    </row>
    <row r="314" spans="1:48" s="2" customFormat="1" ht="18.75" hidden="1" thickBot="1" x14ac:dyDescent="0.3">
      <c r="A314" s="113" t="s">
        <v>382</v>
      </c>
      <c r="B314" s="159">
        <v>26752</v>
      </c>
      <c r="C314" s="5">
        <v>44100</v>
      </c>
      <c r="D314" s="6" t="s">
        <v>105</v>
      </c>
      <c r="E314" s="6" t="s">
        <v>983</v>
      </c>
      <c r="F314" s="4" t="s">
        <v>984</v>
      </c>
      <c r="G314" s="159" t="s">
        <v>130</v>
      </c>
      <c r="H314" s="8" t="s">
        <v>37</v>
      </c>
      <c r="I314" s="8" t="s">
        <v>74</v>
      </c>
      <c r="J314" s="8" t="s">
        <v>75</v>
      </c>
      <c r="K314" s="199"/>
      <c r="L314" s="313">
        <v>45508</v>
      </c>
      <c r="M314" s="7" t="s">
        <v>99</v>
      </c>
      <c r="N314" s="6" t="s">
        <v>40</v>
      </c>
      <c r="O314" s="377">
        <f>7410+50+400</f>
        <v>7860</v>
      </c>
      <c r="P314" s="6" t="s">
        <v>41</v>
      </c>
      <c r="Q314" s="36">
        <f t="shared" si="12"/>
        <v>0.17823129251700681</v>
      </c>
      <c r="R314" s="7">
        <v>45548</v>
      </c>
      <c r="S314" s="41" t="s">
        <v>65</v>
      </c>
      <c r="T314" s="7">
        <v>45559</v>
      </c>
      <c r="U314" s="6" t="s">
        <v>178</v>
      </c>
      <c r="V314" s="7">
        <v>45562</v>
      </c>
      <c r="W314" s="10" t="s">
        <v>45</v>
      </c>
      <c r="X314" s="114">
        <v>38000</v>
      </c>
      <c r="Y314" s="11" t="s">
        <v>341</v>
      </c>
      <c r="Z314" s="11"/>
      <c r="AA314" s="78"/>
      <c r="AB314" s="7">
        <v>45560</v>
      </c>
      <c r="AC314" s="7">
        <v>45559</v>
      </c>
      <c r="AD314" s="376" t="s">
        <v>914</v>
      </c>
      <c r="AE314" s="71">
        <v>45552</v>
      </c>
      <c r="AF314" s="15"/>
      <c r="AG314" s="15"/>
      <c r="AH314" s="15"/>
      <c r="AI314" s="15"/>
      <c r="AJ314" s="15"/>
      <c r="AK314" s="15"/>
      <c r="AL314" s="15"/>
      <c r="AM314" s="15"/>
      <c r="AN314" s="15"/>
      <c r="AO314" s="15"/>
      <c r="AP314" s="15"/>
      <c r="AQ314" s="15"/>
      <c r="AR314" s="15"/>
    </row>
    <row r="315" spans="1:48" s="2" customFormat="1" ht="18.75" hidden="1" thickBot="1" x14ac:dyDescent="0.3">
      <c r="A315" s="120" t="s">
        <v>382</v>
      </c>
      <c r="B315" s="159">
        <v>26704</v>
      </c>
      <c r="C315" s="5">
        <v>44100</v>
      </c>
      <c r="D315" s="6" t="s">
        <v>105</v>
      </c>
      <c r="E315" s="6" t="s">
        <v>883</v>
      </c>
      <c r="F315" s="4" t="s">
        <v>985</v>
      </c>
      <c r="G315" s="159" t="s">
        <v>130</v>
      </c>
      <c r="H315" s="8" t="s">
        <v>37</v>
      </c>
      <c r="I315" s="8" t="s">
        <v>74</v>
      </c>
      <c r="J315" s="8" t="s">
        <v>75</v>
      </c>
      <c r="K315" s="199"/>
      <c r="L315" s="313">
        <v>45508</v>
      </c>
      <c r="M315" s="7" t="s">
        <v>99</v>
      </c>
      <c r="N315" s="6" t="s">
        <v>939</v>
      </c>
      <c r="O315" s="13">
        <f>7410+50+400</f>
        <v>7860</v>
      </c>
      <c r="P315" s="6" t="s">
        <v>41</v>
      </c>
      <c r="Q315" s="36">
        <f t="shared" si="12"/>
        <v>0.17823129251700681</v>
      </c>
      <c r="R315" s="7">
        <v>45548</v>
      </c>
      <c r="S315" s="41" t="s">
        <v>65</v>
      </c>
      <c r="T315" s="7">
        <v>45559</v>
      </c>
      <c r="U315" s="6" t="s">
        <v>178</v>
      </c>
      <c r="V315" s="7">
        <v>45562</v>
      </c>
      <c r="W315" s="10" t="s">
        <v>334</v>
      </c>
      <c r="X315" s="114">
        <v>38000</v>
      </c>
      <c r="Y315" s="11" t="s">
        <v>341</v>
      </c>
      <c r="Z315" s="11"/>
      <c r="AA315" s="78"/>
      <c r="AB315" s="7">
        <v>45560</v>
      </c>
      <c r="AC315" s="7">
        <v>45559</v>
      </c>
      <c r="AD315" s="376"/>
      <c r="AE315" s="71">
        <v>45552</v>
      </c>
      <c r="AF315" s="15"/>
      <c r="AG315" s="15"/>
      <c r="AH315" s="15"/>
      <c r="AI315" s="15"/>
      <c r="AJ315" s="15"/>
      <c r="AK315" s="15"/>
      <c r="AL315" s="15"/>
      <c r="AM315" s="15"/>
      <c r="AN315" s="15"/>
      <c r="AO315" s="15"/>
      <c r="AP315" s="15"/>
      <c r="AQ315" s="15"/>
      <c r="AR315" s="15"/>
    </row>
    <row r="316" spans="1:48" s="2" customFormat="1" ht="18.75" hidden="1" thickBot="1" x14ac:dyDescent="0.3">
      <c r="A316" s="120" t="s">
        <v>382</v>
      </c>
      <c r="B316" s="159">
        <v>26705</v>
      </c>
      <c r="C316" s="5">
        <v>44100</v>
      </c>
      <c r="D316" s="6" t="s">
        <v>105</v>
      </c>
      <c r="E316" s="6" t="s">
        <v>883</v>
      </c>
      <c r="F316" s="4" t="s">
        <v>986</v>
      </c>
      <c r="G316" s="159" t="s">
        <v>130</v>
      </c>
      <c r="H316" s="8" t="s">
        <v>37</v>
      </c>
      <c r="I316" s="8" t="s">
        <v>74</v>
      </c>
      <c r="J316" s="8" t="s">
        <v>75</v>
      </c>
      <c r="K316" s="199"/>
      <c r="L316" s="313">
        <v>45508</v>
      </c>
      <c r="M316" s="7" t="s">
        <v>99</v>
      </c>
      <c r="N316" s="6" t="s">
        <v>939</v>
      </c>
      <c r="O316" s="13">
        <f>7410+50+400</f>
        <v>7860</v>
      </c>
      <c r="P316" s="6" t="s">
        <v>41</v>
      </c>
      <c r="Q316" s="36">
        <f t="shared" si="12"/>
        <v>0.17823129251700681</v>
      </c>
      <c r="R316" s="7">
        <v>45548</v>
      </c>
      <c r="S316" s="41" t="s">
        <v>65</v>
      </c>
      <c r="T316" s="7">
        <v>45559</v>
      </c>
      <c r="U316" s="6" t="s">
        <v>178</v>
      </c>
      <c r="V316" s="7">
        <v>45562</v>
      </c>
      <c r="W316" s="10" t="s">
        <v>334</v>
      </c>
      <c r="X316" s="114">
        <v>38000</v>
      </c>
      <c r="Y316" s="11" t="s">
        <v>341</v>
      </c>
      <c r="Z316" s="11"/>
      <c r="AA316" s="78"/>
      <c r="AB316" s="7">
        <v>45560</v>
      </c>
      <c r="AC316" s="7">
        <v>45559</v>
      </c>
      <c r="AD316" s="376"/>
      <c r="AE316" s="71">
        <v>45552</v>
      </c>
      <c r="AF316" s="15"/>
      <c r="AG316" s="15"/>
      <c r="AH316" s="15"/>
      <c r="AI316" s="15"/>
      <c r="AJ316" s="15"/>
      <c r="AK316" s="15"/>
      <c r="AL316" s="15"/>
      <c r="AM316" s="15"/>
      <c r="AN316" s="15"/>
      <c r="AO316" s="15"/>
      <c r="AP316" s="15"/>
      <c r="AQ316" s="15"/>
      <c r="AR316" s="15"/>
    </row>
    <row r="317" spans="1:48" s="30" customFormat="1" ht="18" hidden="1" x14ac:dyDescent="0.25">
      <c r="A317" s="109" t="s">
        <v>251</v>
      </c>
      <c r="B317" s="22">
        <v>26648</v>
      </c>
      <c r="C317" s="23">
        <v>40500</v>
      </c>
      <c r="D317" s="22" t="s">
        <v>249</v>
      </c>
      <c r="E317" s="22" t="s">
        <v>421</v>
      </c>
      <c r="F317" s="22"/>
      <c r="G317" s="22"/>
      <c r="H317" s="24" t="s">
        <v>37</v>
      </c>
      <c r="I317" s="24" t="s">
        <v>253</v>
      </c>
      <c r="J317" s="24"/>
      <c r="K317" s="24"/>
      <c r="L317" s="91">
        <v>45559</v>
      </c>
      <c r="M317" s="25"/>
      <c r="N317" s="22" t="s">
        <v>103</v>
      </c>
      <c r="O317" s="26">
        <v>6100</v>
      </c>
      <c r="P317" s="22" t="s">
        <v>80</v>
      </c>
      <c r="Q317" s="27">
        <f t="shared" si="12"/>
        <v>0.1506172839506173</v>
      </c>
      <c r="R317" s="217"/>
      <c r="S317" s="27"/>
      <c r="T317" s="24"/>
      <c r="U317" s="28" t="s">
        <v>66</v>
      </c>
      <c r="V317" s="25">
        <v>45562</v>
      </c>
      <c r="W317" s="24" t="s">
        <v>45</v>
      </c>
      <c r="X317" s="29">
        <v>91125</v>
      </c>
      <c r="Y317" s="24" t="s">
        <v>215</v>
      </c>
      <c r="Z317" s="24"/>
      <c r="AA317" s="78"/>
      <c r="AB317" s="78"/>
      <c r="AC317" s="7">
        <v>45561</v>
      </c>
      <c r="AD317" s="316" t="s">
        <v>928</v>
      </c>
      <c r="AE317" s="71">
        <v>45562</v>
      </c>
      <c r="AF317" s="15"/>
      <c r="AG317" s="15"/>
      <c r="AH317" s="15"/>
      <c r="AI317" s="15"/>
      <c r="AJ317" s="15"/>
      <c r="AK317" s="15"/>
      <c r="AL317" s="15"/>
      <c r="AM317" s="15"/>
      <c r="AN317" s="15"/>
      <c r="AO317" s="15"/>
      <c r="AP317" s="15"/>
      <c r="AQ317" s="15"/>
      <c r="AR317" s="15"/>
      <c r="AS317" s="15"/>
      <c r="AT317" s="15"/>
      <c r="AU317" s="15"/>
      <c r="AV317" s="15"/>
    </row>
    <row r="318" spans="1:48" s="30" customFormat="1" ht="18" hidden="1" x14ac:dyDescent="0.25">
      <c r="A318" s="21" t="s">
        <v>718</v>
      </c>
      <c r="B318" s="22">
        <v>26974</v>
      </c>
      <c r="C318" s="246">
        <v>40000</v>
      </c>
      <c r="D318" s="22" t="s">
        <v>249</v>
      </c>
      <c r="E318" s="22" t="s">
        <v>987</v>
      </c>
      <c r="F318" s="22" t="s">
        <v>988</v>
      </c>
      <c r="G318" s="22"/>
      <c r="H318" s="24" t="s">
        <v>37</v>
      </c>
      <c r="I318" s="24" t="s">
        <v>720</v>
      </c>
      <c r="J318" s="24" t="s">
        <v>62</v>
      </c>
      <c r="K318" s="24"/>
      <c r="L318" s="91">
        <v>45555</v>
      </c>
      <c r="M318" s="25"/>
      <c r="N318" s="22" t="s">
        <v>434</v>
      </c>
      <c r="O318" s="247">
        <f>3660*1.205</f>
        <v>4410.3</v>
      </c>
      <c r="P318" s="22" t="s">
        <v>41</v>
      </c>
      <c r="Q318" s="27"/>
      <c r="R318" s="217"/>
      <c r="S318" s="27"/>
      <c r="T318" s="24"/>
      <c r="U318" s="245" t="s">
        <v>66</v>
      </c>
      <c r="V318" s="25">
        <v>45562</v>
      </c>
      <c r="W318" s="24" t="s">
        <v>358</v>
      </c>
      <c r="X318" s="248">
        <v>90000</v>
      </c>
      <c r="Y318" s="24" t="s">
        <v>215</v>
      </c>
      <c r="Z318" s="24"/>
      <c r="AA318" s="78"/>
      <c r="AB318" s="78"/>
      <c r="AC318" s="7">
        <v>45561</v>
      </c>
      <c r="AD318" s="48"/>
      <c r="AE318" s="71">
        <v>45555</v>
      </c>
      <c r="AF318" s="15"/>
      <c r="AG318" s="15"/>
      <c r="AH318" s="15"/>
      <c r="AI318" s="15"/>
      <c r="AJ318" s="15"/>
      <c r="AK318" s="15"/>
      <c r="AL318" s="15"/>
      <c r="AM318" s="15"/>
      <c r="AN318" s="15"/>
      <c r="AO318" s="15"/>
      <c r="AP318" s="15"/>
      <c r="AQ318" s="15"/>
      <c r="AR318" s="15"/>
      <c r="AS318" s="15"/>
      <c r="AT318" s="15"/>
      <c r="AU318" s="15"/>
      <c r="AV318" s="15"/>
    </row>
    <row r="319" spans="1:48" s="30" customFormat="1" ht="18" hidden="1" customHeight="1" x14ac:dyDescent="0.25">
      <c r="A319" s="21" t="s">
        <v>392</v>
      </c>
      <c r="B319" s="22">
        <v>27269</v>
      </c>
      <c r="C319" s="23">
        <v>44000</v>
      </c>
      <c r="D319" s="22" t="s">
        <v>249</v>
      </c>
      <c r="E319" s="22" t="s">
        <v>789</v>
      </c>
      <c r="F319" s="22"/>
      <c r="G319" s="22"/>
      <c r="H319" s="24" t="s">
        <v>37</v>
      </c>
      <c r="I319" s="24" t="s">
        <v>394</v>
      </c>
      <c r="J319" s="24" t="s">
        <v>53</v>
      </c>
      <c r="K319" s="24"/>
      <c r="L319" s="255">
        <v>45565</v>
      </c>
      <c r="M319" s="25"/>
      <c r="N319" s="22"/>
      <c r="O319" s="26"/>
      <c r="P319" s="22"/>
      <c r="Q319" s="27"/>
      <c r="R319" s="217"/>
      <c r="S319" s="27"/>
      <c r="T319" s="379">
        <v>45558</v>
      </c>
      <c r="U319" s="28" t="s">
        <v>66</v>
      </c>
      <c r="V319" s="25">
        <v>45565</v>
      </c>
      <c r="W319" s="24" t="s">
        <v>358</v>
      </c>
      <c r="X319" s="29">
        <v>114700</v>
      </c>
      <c r="Y319" s="24" t="s">
        <v>215</v>
      </c>
      <c r="Z319" s="24"/>
      <c r="AA319" s="78"/>
      <c r="AB319" s="78"/>
      <c r="AC319" s="78"/>
      <c r="AD319" s="6"/>
      <c r="AE319" s="71" t="s">
        <v>378</v>
      </c>
      <c r="AF319" s="15"/>
      <c r="AG319" s="15"/>
      <c r="AH319" s="15"/>
      <c r="AI319" s="15"/>
      <c r="AJ319" s="15"/>
      <c r="AK319" s="15"/>
      <c r="AL319" s="15"/>
      <c r="AM319" s="15"/>
      <c r="AN319" s="15"/>
      <c r="AO319" s="15"/>
      <c r="AP319" s="15"/>
      <c r="AQ319" s="15"/>
      <c r="AR319" s="15"/>
      <c r="AS319" s="15"/>
      <c r="AT319" s="15"/>
      <c r="AU319" s="15"/>
      <c r="AV319" s="15"/>
    </row>
    <row r="320" spans="1:48" s="2" customFormat="1" ht="18.75" hidden="1" thickBot="1" x14ac:dyDescent="0.3">
      <c r="A320" s="120" t="s">
        <v>382</v>
      </c>
      <c r="B320" s="159">
        <v>26703</v>
      </c>
      <c r="C320" s="5">
        <v>44100</v>
      </c>
      <c r="D320" s="6" t="s">
        <v>105</v>
      </c>
      <c r="E320" s="6" t="s">
        <v>883</v>
      </c>
      <c r="F320" s="4" t="s">
        <v>989</v>
      </c>
      <c r="G320" s="159" t="s">
        <v>130</v>
      </c>
      <c r="H320" s="8" t="s">
        <v>37</v>
      </c>
      <c r="I320" s="8" t="s">
        <v>74</v>
      </c>
      <c r="J320" s="8" t="s">
        <v>75</v>
      </c>
      <c r="K320" s="199"/>
      <c r="L320" s="313">
        <v>45508</v>
      </c>
      <c r="M320" s="7" t="s">
        <v>99</v>
      </c>
      <c r="N320" s="6" t="s">
        <v>40</v>
      </c>
      <c r="O320" s="13">
        <f>7410+50+400</f>
        <v>7860</v>
      </c>
      <c r="P320" s="6" t="s">
        <v>41</v>
      </c>
      <c r="Q320" s="36">
        <f>+O320/C320</f>
        <v>0.17823129251700681</v>
      </c>
      <c r="R320" s="7">
        <v>45548</v>
      </c>
      <c r="S320" s="41" t="s">
        <v>65</v>
      </c>
      <c r="T320" s="7">
        <v>45564</v>
      </c>
      <c r="U320" s="6" t="s">
        <v>178</v>
      </c>
      <c r="V320" s="7" t="s">
        <v>990</v>
      </c>
      <c r="W320" s="10" t="s">
        <v>334</v>
      </c>
      <c r="X320" s="114">
        <v>38000</v>
      </c>
      <c r="Y320" s="11" t="s">
        <v>341</v>
      </c>
      <c r="Z320" s="11"/>
      <c r="AA320" s="78"/>
      <c r="AB320" s="7">
        <v>45562</v>
      </c>
      <c r="AC320" s="7">
        <v>45564</v>
      </c>
      <c r="AD320" s="376"/>
      <c r="AE320" s="71">
        <v>45548</v>
      </c>
      <c r="AF320" s="15"/>
      <c r="AG320" s="15"/>
      <c r="AH320" s="15"/>
      <c r="AI320" s="15"/>
      <c r="AJ320" s="15"/>
      <c r="AK320" s="15"/>
      <c r="AL320" s="15"/>
      <c r="AM320" s="15"/>
      <c r="AN320" s="15"/>
      <c r="AO320" s="15"/>
      <c r="AP320" s="15"/>
      <c r="AQ320" s="15"/>
      <c r="AR320" s="15"/>
    </row>
    <row r="321" spans="1:48" s="15" customFormat="1" ht="18.75" hidden="1" thickBot="1" x14ac:dyDescent="0.3">
      <c r="A321" s="120" t="s">
        <v>506</v>
      </c>
      <c r="B321" s="6">
        <v>25858</v>
      </c>
      <c r="C321" s="5">
        <v>55000</v>
      </c>
      <c r="D321" s="6" t="s">
        <v>33</v>
      </c>
      <c r="E321" s="6" t="s">
        <v>991</v>
      </c>
      <c r="F321" s="4" t="s">
        <v>992</v>
      </c>
      <c r="G321" s="159" t="s">
        <v>130</v>
      </c>
      <c r="H321" s="8" t="s">
        <v>37</v>
      </c>
      <c r="I321" s="8" t="s">
        <v>412</v>
      </c>
      <c r="J321" s="8" t="s">
        <v>413</v>
      </c>
      <c r="K321" s="199"/>
      <c r="L321" s="313">
        <v>45495</v>
      </c>
      <c r="M321" s="7" t="s">
        <v>99</v>
      </c>
      <c r="N321" s="73" t="s">
        <v>40</v>
      </c>
      <c r="O321" s="13">
        <f>9820+50+400</f>
        <v>10270</v>
      </c>
      <c r="P321" s="6" t="s">
        <v>41</v>
      </c>
      <c r="Q321" s="36">
        <f>+O321/C321</f>
        <v>0.18672727272727271</v>
      </c>
      <c r="R321" s="7">
        <v>45548</v>
      </c>
      <c r="S321" s="41" t="s">
        <v>65</v>
      </c>
      <c r="T321" s="7">
        <v>45564</v>
      </c>
      <c r="U321" s="6" t="s">
        <v>178</v>
      </c>
      <c r="V321" s="7" t="s">
        <v>990</v>
      </c>
      <c r="W321" s="10" t="s">
        <v>334</v>
      </c>
      <c r="X321" s="114">
        <v>45360</v>
      </c>
      <c r="Y321" s="11" t="s">
        <v>68</v>
      </c>
      <c r="Z321" s="11"/>
      <c r="AA321" s="7">
        <v>45565</v>
      </c>
      <c r="AB321" s="7">
        <v>45565</v>
      </c>
      <c r="AC321" s="7">
        <v>45564</v>
      </c>
      <c r="AD321" s="38"/>
      <c r="AE321" s="71">
        <v>45548</v>
      </c>
    </row>
    <row r="322" spans="1:48" s="2" customFormat="1" ht="18.75" hidden="1" thickBot="1" x14ac:dyDescent="0.3">
      <c r="A322" s="120" t="s">
        <v>382</v>
      </c>
      <c r="B322" s="159">
        <v>26702</v>
      </c>
      <c r="C322" s="5">
        <v>44100</v>
      </c>
      <c r="D322" s="6" t="s">
        <v>105</v>
      </c>
      <c r="E322" s="6" t="s">
        <v>883</v>
      </c>
      <c r="F322" s="4" t="s">
        <v>993</v>
      </c>
      <c r="G322" s="159" t="s">
        <v>130</v>
      </c>
      <c r="H322" s="8" t="s">
        <v>37</v>
      </c>
      <c r="I322" s="8" t="s">
        <v>74</v>
      </c>
      <c r="J322" s="8" t="s">
        <v>75</v>
      </c>
      <c r="K322" s="199"/>
      <c r="L322" s="313">
        <v>45508</v>
      </c>
      <c r="M322" s="7" t="s">
        <v>99</v>
      </c>
      <c r="N322" s="6" t="s">
        <v>40</v>
      </c>
      <c r="O322" s="13">
        <f>7410+50+400</f>
        <v>7860</v>
      </c>
      <c r="P322" s="6" t="s">
        <v>41</v>
      </c>
      <c r="Q322" s="36">
        <f>+O322/C322</f>
        <v>0.17823129251700681</v>
      </c>
      <c r="R322" s="7">
        <v>45548</v>
      </c>
      <c r="S322" s="41" t="s">
        <v>65</v>
      </c>
      <c r="T322" s="7">
        <v>45566</v>
      </c>
      <c r="U322" s="6" t="s">
        <v>178</v>
      </c>
      <c r="V322" s="7" t="s">
        <v>990</v>
      </c>
      <c r="W322" s="10" t="s">
        <v>334</v>
      </c>
      <c r="X322" s="114">
        <v>36992</v>
      </c>
      <c r="Y322" s="11" t="s">
        <v>341</v>
      </c>
      <c r="Z322" s="11"/>
      <c r="AA322" s="78"/>
      <c r="AB322" s="7">
        <v>45562</v>
      </c>
      <c r="AC322" s="7">
        <v>45564</v>
      </c>
      <c r="AD322" s="376" t="s">
        <v>914</v>
      </c>
      <c r="AE322" s="71">
        <v>45548</v>
      </c>
      <c r="AF322" s="15"/>
      <c r="AG322" s="15"/>
      <c r="AH322" s="15"/>
      <c r="AI322" s="15"/>
      <c r="AJ322" s="15"/>
      <c r="AK322" s="15"/>
      <c r="AL322" s="15"/>
      <c r="AM322" s="15"/>
      <c r="AN322" s="15"/>
      <c r="AO322" s="15"/>
      <c r="AP322" s="15"/>
      <c r="AQ322" s="15"/>
      <c r="AR322" s="15"/>
    </row>
    <row r="323" spans="1:48" s="3" customFormat="1" ht="18.75" hidden="1" thickBot="1" x14ac:dyDescent="0.3">
      <c r="A323" s="209" t="s">
        <v>994</v>
      </c>
      <c r="B323" s="6">
        <v>26991</v>
      </c>
      <c r="C323" s="44">
        <v>22000</v>
      </c>
      <c r="D323" s="4" t="s">
        <v>105</v>
      </c>
      <c r="E323" s="6" t="s">
        <v>857</v>
      </c>
      <c r="F323" s="4" t="s">
        <v>995</v>
      </c>
      <c r="G323" s="6" t="s">
        <v>130</v>
      </c>
      <c r="H323" s="6" t="s">
        <v>51</v>
      </c>
      <c r="I323" s="6" t="s">
        <v>52</v>
      </c>
      <c r="J323" s="6" t="s">
        <v>75</v>
      </c>
      <c r="K323" s="167"/>
      <c r="L323" s="313">
        <v>45508</v>
      </c>
      <c r="M323" s="7"/>
      <c r="N323" s="73" t="s">
        <v>40</v>
      </c>
      <c r="O323" s="13">
        <v>575</v>
      </c>
      <c r="P323" s="6" t="s">
        <v>80</v>
      </c>
      <c r="Q323" s="19">
        <f>+O323/C323</f>
        <v>2.6136363636363635E-2</v>
      </c>
      <c r="R323" s="7">
        <v>45548</v>
      </c>
      <c r="S323" s="156" t="s">
        <v>65</v>
      </c>
      <c r="T323" s="7">
        <v>45566</v>
      </c>
      <c r="U323" s="46" t="s">
        <v>178</v>
      </c>
      <c r="V323" s="7">
        <v>45568</v>
      </c>
      <c r="W323" s="10" t="s">
        <v>45</v>
      </c>
      <c r="X323" s="114">
        <v>176000</v>
      </c>
      <c r="Y323" s="11" t="s">
        <v>68</v>
      </c>
      <c r="Z323" s="11"/>
      <c r="AA323" s="7">
        <v>45565</v>
      </c>
      <c r="AB323" s="7">
        <v>45567</v>
      </c>
      <c r="AC323" s="7">
        <v>45566</v>
      </c>
      <c r="AE323" s="71">
        <v>45570</v>
      </c>
      <c r="AF323" s="208"/>
      <c r="AG323" s="208"/>
      <c r="AH323" s="208"/>
      <c r="AI323" s="208"/>
      <c r="AJ323" s="208"/>
      <c r="AK323" s="208"/>
      <c r="AL323" s="208"/>
      <c r="AM323" s="208"/>
      <c r="AN323" s="208"/>
      <c r="AO323" s="208"/>
      <c r="AP323" s="208"/>
      <c r="AQ323" s="208"/>
      <c r="AR323" s="208"/>
    </row>
    <row r="324" spans="1:48" s="15" customFormat="1" ht="18.75" hidden="1" thickBot="1" x14ac:dyDescent="0.3">
      <c r="A324" s="209" t="s">
        <v>978</v>
      </c>
      <c r="B324" s="6">
        <v>26506</v>
      </c>
      <c r="C324" s="5">
        <v>55000</v>
      </c>
      <c r="D324" s="6" t="s">
        <v>48</v>
      </c>
      <c r="E324" s="6" t="s">
        <v>996</v>
      </c>
      <c r="F324" s="4" t="s">
        <v>997</v>
      </c>
      <c r="G324" s="6" t="s">
        <v>130</v>
      </c>
      <c r="H324" s="11" t="s">
        <v>37</v>
      </c>
      <c r="I324" s="11" t="s">
        <v>281</v>
      </c>
      <c r="J324" s="11" t="s">
        <v>120</v>
      </c>
      <c r="K324" s="171"/>
      <c r="L324" s="313">
        <v>45479</v>
      </c>
      <c r="M324" s="7" t="s">
        <v>99</v>
      </c>
      <c r="N324" s="6" t="s">
        <v>40</v>
      </c>
      <c r="O324" s="13">
        <f>9350+400</f>
        <v>9750</v>
      </c>
      <c r="P324" s="6" t="s">
        <v>41</v>
      </c>
      <c r="Q324" s="36">
        <f>+O324/C324</f>
        <v>0.17727272727272728</v>
      </c>
      <c r="R324" s="7">
        <v>45548</v>
      </c>
      <c r="S324" s="41" t="s">
        <v>65</v>
      </c>
      <c r="T324" s="7">
        <v>45566</v>
      </c>
      <c r="U324" s="46" t="s">
        <v>178</v>
      </c>
      <c r="V324" s="7">
        <v>45569</v>
      </c>
      <c r="W324" s="10" t="s">
        <v>334</v>
      </c>
      <c r="X324" s="114">
        <v>118800</v>
      </c>
      <c r="Y324" s="11" t="s">
        <v>341</v>
      </c>
      <c r="Z324" s="11"/>
      <c r="AA324" s="78"/>
      <c r="AB324" s="7">
        <v>45568</v>
      </c>
      <c r="AC324" s="7">
        <v>45566</v>
      </c>
      <c r="AD324" s="48"/>
      <c r="AE324" s="71">
        <v>45552</v>
      </c>
    </row>
    <row r="325" spans="1:48" s="30" customFormat="1" ht="18" hidden="1" customHeight="1" x14ac:dyDescent="0.25">
      <c r="A325" s="21" t="s">
        <v>259</v>
      </c>
      <c r="B325" s="22">
        <v>24563</v>
      </c>
      <c r="C325" s="23">
        <v>40500</v>
      </c>
      <c r="D325" s="22" t="s">
        <v>249</v>
      </c>
      <c r="E325" s="22" t="s">
        <v>260</v>
      </c>
      <c r="F325" s="22"/>
      <c r="G325" s="22"/>
      <c r="H325" s="24" t="s">
        <v>37</v>
      </c>
      <c r="I325" s="24" t="s">
        <v>261</v>
      </c>
      <c r="J325" s="24" t="s">
        <v>53</v>
      </c>
      <c r="K325" s="24"/>
      <c r="L325" s="255">
        <v>45567</v>
      </c>
      <c r="M325" s="25"/>
      <c r="N325" s="22"/>
      <c r="O325" s="26"/>
      <c r="P325" s="22"/>
      <c r="Q325" s="27"/>
      <c r="R325" s="217"/>
      <c r="S325" s="27"/>
      <c r="T325" s="24"/>
      <c r="U325" s="28" t="s">
        <v>66</v>
      </c>
      <c r="V325" s="25">
        <v>45569</v>
      </c>
      <c r="W325" s="24" t="s">
        <v>45</v>
      </c>
      <c r="X325" s="29">
        <v>55485</v>
      </c>
      <c r="Y325" s="24" t="s">
        <v>215</v>
      </c>
      <c r="Z325" s="24"/>
      <c r="AA325" s="78"/>
      <c r="AB325" s="78"/>
      <c r="AC325" s="78"/>
      <c r="AD325" s="6"/>
      <c r="AE325" s="162" t="s">
        <v>378</v>
      </c>
      <c r="AF325" s="15"/>
      <c r="AG325" s="15"/>
      <c r="AH325" s="15"/>
      <c r="AI325" s="15"/>
      <c r="AJ325" s="15"/>
      <c r="AK325" s="15"/>
      <c r="AL325" s="15"/>
      <c r="AM325" s="15"/>
      <c r="AN325" s="15"/>
      <c r="AO325" s="15"/>
      <c r="AP325" s="15"/>
      <c r="AQ325" s="15"/>
      <c r="AR325" s="15"/>
      <c r="AS325" s="15"/>
      <c r="AT325" s="15"/>
      <c r="AU325" s="15"/>
      <c r="AV325" s="15"/>
    </row>
    <row r="326" spans="1:48" s="30" customFormat="1" ht="18" hidden="1" x14ac:dyDescent="0.25">
      <c r="A326" s="109" t="s">
        <v>259</v>
      </c>
      <c r="B326" s="22">
        <v>27484</v>
      </c>
      <c r="C326" s="23">
        <v>11250</v>
      </c>
      <c r="D326" s="256">
        <v>5</v>
      </c>
      <c r="E326" s="22" t="s">
        <v>998</v>
      </c>
      <c r="F326" s="22"/>
      <c r="G326" s="22"/>
      <c r="H326" s="24" t="s">
        <v>37</v>
      </c>
      <c r="I326" s="24" t="s">
        <v>261</v>
      </c>
      <c r="J326" s="24" t="s">
        <v>53</v>
      </c>
      <c r="K326" s="24"/>
      <c r="L326" s="255">
        <v>45568</v>
      </c>
      <c r="M326" s="25"/>
      <c r="N326" s="22"/>
      <c r="O326" s="26"/>
      <c r="P326" s="22"/>
      <c r="Q326" s="27"/>
      <c r="R326" s="217"/>
      <c r="S326" s="27"/>
      <c r="T326" s="24"/>
      <c r="U326" s="28" t="s">
        <v>66</v>
      </c>
      <c r="V326" s="25">
        <v>45569</v>
      </c>
      <c r="W326" s="24" t="s">
        <v>45</v>
      </c>
      <c r="X326" s="29">
        <v>28687.5</v>
      </c>
      <c r="Y326" s="24" t="s">
        <v>215</v>
      </c>
      <c r="Z326" s="24"/>
      <c r="AA326" s="78"/>
      <c r="AB326" s="78"/>
      <c r="AC326" s="78"/>
      <c r="AD326" s="182"/>
      <c r="AE326" s="162" t="s">
        <v>378</v>
      </c>
      <c r="AF326" s="15"/>
      <c r="AG326" s="15"/>
      <c r="AH326" s="15"/>
      <c r="AI326" s="15"/>
      <c r="AJ326" s="15"/>
      <c r="AK326" s="15"/>
      <c r="AL326" s="15"/>
      <c r="AM326" s="15"/>
      <c r="AN326" s="15"/>
      <c r="AO326" s="15"/>
      <c r="AP326" s="15"/>
      <c r="AQ326" s="15"/>
      <c r="AR326" s="15"/>
      <c r="AS326" s="15"/>
      <c r="AT326" s="15"/>
      <c r="AU326" s="15"/>
      <c r="AV326" s="15"/>
    </row>
    <row r="327" spans="1:48" s="30" customFormat="1" ht="18.75" hidden="1" thickBot="1" x14ac:dyDescent="0.3">
      <c r="A327" s="209" t="s">
        <v>506</v>
      </c>
      <c r="B327" s="6">
        <v>25860</v>
      </c>
      <c r="C327" s="168">
        <v>55000</v>
      </c>
      <c r="D327" s="167" t="s">
        <v>33</v>
      </c>
      <c r="E327" s="167" t="s">
        <v>999</v>
      </c>
      <c r="F327" s="6" t="s">
        <v>1000</v>
      </c>
      <c r="G327" s="6" t="s">
        <v>36</v>
      </c>
      <c r="H327" s="171" t="s">
        <v>37</v>
      </c>
      <c r="I327" s="11" t="s">
        <v>412</v>
      </c>
      <c r="J327" s="11" t="s">
        <v>413</v>
      </c>
      <c r="K327" s="171"/>
      <c r="L327" s="313">
        <v>45515</v>
      </c>
      <c r="M327" s="7" t="s">
        <v>913</v>
      </c>
      <c r="N327" s="6" t="s">
        <v>939</v>
      </c>
      <c r="O327" s="13">
        <f>8785+400</f>
        <v>9185</v>
      </c>
      <c r="P327" s="6" t="s">
        <v>41</v>
      </c>
      <c r="Q327" s="36">
        <f>+O327/C327</f>
        <v>0.16700000000000001</v>
      </c>
      <c r="R327" s="7">
        <v>45550</v>
      </c>
      <c r="S327" s="41" t="s">
        <v>65</v>
      </c>
      <c r="T327" s="7">
        <v>45568</v>
      </c>
      <c r="U327" s="46" t="s">
        <v>76</v>
      </c>
      <c r="V327" s="7" t="s">
        <v>1001</v>
      </c>
      <c r="W327" s="10" t="s">
        <v>45</v>
      </c>
      <c r="X327" s="236">
        <v>44280</v>
      </c>
      <c r="Y327" s="11" t="s">
        <v>68</v>
      </c>
      <c r="Z327" s="11"/>
      <c r="AA327" s="7">
        <v>45569</v>
      </c>
      <c r="AB327" s="7">
        <v>45569</v>
      </c>
      <c r="AC327" s="7">
        <v>45568</v>
      </c>
      <c r="AD327" s="242"/>
      <c r="AE327" s="7">
        <v>45566</v>
      </c>
      <c r="AF327" s="15"/>
      <c r="AG327" s="15"/>
      <c r="AH327" s="15"/>
      <c r="AI327" s="15"/>
      <c r="AJ327" s="15"/>
      <c r="AK327" s="15"/>
      <c r="AL327" s="15"/>
      <c r="AM327" s="15"/>
      <c r="AN327" s="15"/>
      <c r="AO327" s="15"/>
      <c r="AP327" s="15"/>
      <c r="AQ327" s="15"/>
      <c r="AR327" s="15"/>
      <c r="AS327" s="15"/>
      <c r="AT327" s="15"/>
      <c r="AU327" s="15"/>
      <c r="AV327" s="15"/>
    </row>
    <row r="328" spans="1:48" s="15" customFormat="1" ht="18" hidden="1" x14ac:dyDescent="0.25">
      <c r="A328" s="209" t="s">
        <v>615</v>
      </c>
      <c r="B328" s="6">
        <v>25529</v>
      </c>
      <c r="C328" s="5">
        <v>44000</v>
      </c>
      <c r="D328" s="6" t="s">
        <v>105</v>
      </c>
      <c r="E328" s="6" t="s">
        <v>616</v>
      </c>
      <c r="F328" s="4" t="s">
        <v>1002</v>
      </c>
      <c r="G328" s="6" t="s">
        <v>108</v>
      </c>
      <c r="H328" s="6" t="s">
        <v>51</v>
      </c>
      <c r="I328" s="6" t="s">
        <v>52</v>
      </c>
      <c r="J328" s="11" t="s">
        <v>156</v>
      </c>
      <c r="K328" s="11"/>
      <c r="L328" s="7">
        <v>45527</v>
      </c>
      <c r="M328" s="7"/>
      <c r="N328" s="45" t="s">
        <v>40</v>
      </c>
      <c r="O328" s="13">
        <v>575</v>
      </c>
      <c r="P328" s="45" t="s">
        <v>80</v>
      </c>
      <c r="Q328" s="154">
        <f>+O328/C328</f>
        <v>1.3068181818181817E-2</v>
      </c>
      <c r="R328" s="71">
        <v>45564</v>
      </c>
      <c r="S328" s="17" t="s">
        <v>121</v>
      </c>
      <c r="T328" s="7">
        <v>45569</v>
      </c>
      <c r="U328" s="46" t="s">
        <v>76</v>
      </c>
      <c r="V328" s="7" t="s">
        <v>1001</v>
      </c>
      <c r="W328" s="10" t="s">
        <v>45</v>
      </c>
      <c r="X328" s="236">
        <v>42800</v>
      </c>
      <c r="Y328" s="11" t="s">
        <v>341</v>
      </c>
      <c r="Z328" s="11"/>
      <c r="AA328" s="78"/>
      <c r="AB328" s="7">
        <v>45568</v>
      </c>
      <c r="AC328" s="7">
        <v>45568</v>
      </c>
      <c r="AD328" s="40"/>
      <c r="AE328" s="71">
        <v>45577</v>
      </c>
    </row>
    <row r="329" spans="1:48" s="15" customFormat="1" ht="18.75" hidden="1" thickBot="1" x14ac:dyDescent="0.3">
      <c r="A329" s="120" t="s">
        <v>506</v>
      </c>
      <c r="B329" s="6">
        <v>25859</v>
      </c>
      <c r="C329" s="5">
        <v>55000</v>
      </c>
      <c r="D329" s="6" t="s">
        <v>33</v>
      </c>
      <c r="E329" s="6" t="s">
        <v>991</v>
      </c>
      <c r="F329" s="6" t="s">
        <v>1003</v>
      </c>
      <c r="G329" s="6" t="s">
        <v>36</v>
      </c>
      <c r="H329" s="8" t="s">
        <v>37</v>
      </c>
      <c r="I329" s="8" t="s">
        <v>412</v>
      </c>
      <c r="J329" s="8" t="s">
        <v>413</v>
      </c>
      <c r="K329" s="199"/>
      <c r="L329" s="313">
        <v>45515</v>
      </c>
      <c r="M329" s="7" t="s">
        <v>913</v>
      </c>
      <c r="N329" s="73" t="s">
        <v>40</v>
      </c>
      <c r="O329" s="13">
        <f>8785+400</f>
        <v>9185</v>
      </c>
      <c r="P329" s="6" t="s">
        <v>41</v>
      </c>
      <c r="Q329" s="405">
        <f>+O329/C329</f>
        <v>0.16700000000000001</v>
      </c>
      <c r="R329" s="7">
        <v>45550</v>
      </c>
      <c r="S329" s="41" t="s">
        <v>65</v>
      </c>
      <c r="T329" s="7">
        <v>45571</v>
      </c>
      <c r="U329" s="46" t="s">
        <v>76</v>
      </c>
      <c r="V329" s="7" t="s">
        <v>1001</v>
      </c>
      <c r="W329" s="10" t="s">
        <v>334</v>
      </c>
      <c r="X329" s="236">
        <v>45360</v>
      </c>
      <c r="Y329" s="11" t="s">
        <v>68</v>
      </c>
      <c r="Z329" s="11"/>
      <c r="AA329" s="7">
        <v>45572</v>
      </c>
      <c r="AB329" s="7">
        <v>45573</v>
      </c>
      <c r="AC329" s="7">
        <v>45571</v>
      </c>
      <c r="AD329" s="38"/>
      <c r="AE329" s="7">
        <v>45566</v>
      </c>
    </row>
    <row r="330" spans="1:48" s="30" customFormat="1" ht="18" hidden="1" x14ac:dyDescent="0.25">
      <c r="A330" s="16" t="s">
        <v>179</v>
      </c>
      <c r="B330" s="6">
        <v>26809</v>
      </c>
      <c r="C330" s="168">
        <v>35000</v>
      </c>
      <c r="D330" s="167" t="s">
        <v>105</v>
      </c>
      <c r="E330" s="167" t="s">
        <v>1004</v>
      </c>
      <c r="F330" s="167" t="s">
        <v>1005</v>
      </c>
      <c r="G330" s="167" t="s">
        <v>36</v>
      </c>
      <c r="H330" s="171" t="s">
        <v>37</v>
      </c>
      <c r="I330" s="171" t="s">
        <v>182</v>
      </c>
      <c r="J330" s="171" t="s">
        <v>183</v>
      </c>
      <c r="K330" s="171"/>
      <c r="L330" s="64">
        <v>45523</v>
      </c>
      <c r="M330" s="64" t="s">
        <v>414</v>
      </c>
      <c r="N330" s="167" t="s">
        <v>40</v>
      </c>
      <c r="O330" s="177">
        <f>7720+62.5+400</f>
        <v>8182.5</v>
      </c>
      <c r="P330" s="167" t="s">
        <v>41</v>
      </c>
      <c r="Q330" s="178"/>
      <c r="R330" s="64">
        <v>45559</v>
      </c>
      <c r="S330" s="156" t="s">
        <v>65</v>
      </c>
      <c r="T330" s="64">
        <v>45574</v>
      </c>
      <c r="U330" s="46" t="s">
        <v>76</v>
      </c>
      <c r="V330" s="7" t="s">
        <v>1001</v>
      </c>
      <c r="W330" s="10" t="s">
        <v>45</v>
      </c>
      <c r="X330" s="236">
        <v>62775</v>
      </c>
      <c r="Y330" s="11" t="s">
        <v>68</v>
      </c>
      <c r="Z330" s="11"/>
      <c r="AA330" s="7">
        <v>45576</v>
      </c>
      <c r="AB330" s="7">
        <v>45576</v>
      </c>
      <c r="AC330" s="7">
        <v>45575</v>
      </c>
      <c r="AD330" s="242"/>
      <c r="AE330" s="71">
        <v>45576</v>
      </c>
      <c r="AF330" s="15"/>
      <c r="AG330" s="15"/>
      <c r="AH330" s="15"/>
      <c r="AI330" s="15"/>
      <c r="AJ330" s="15"/>
      <c r="AK330" s="15"/>
      <c r="AL330" s="15"/>
      <c r="AM330" s="15"/>
      <c r="AN330" s="15"/>
      <c r="AO330" s="15"/>
      <c r="AP330" s="15"/>
      <c r="AQ330" s="15"/>
      <c r="AR330" s="15"/>
      <c r="AS330" s="15"/>
      <c r="AT330" s="15"/>
      <c r="AU330" s="15"/>
    </row>
    <row r="331" spans="1:48" s="30" customFormat="1" ht="18" hidden="1" customHeight="1" x14ac:dyDescent="0.25">
      <c r="A331" s="16" t="s">
        <v>104</v>
      </c>
      <c r="B331" s="6">
        <v>26968</v>
      </c>
      <c r="C331" s="5">
        <v>55000</v>
      </c>
      <c r="D331" s="6" t="s">
        <v>33</v>
      </c>
      <c r="E331" s="6" t="s">
        <v>1006</v>
      </c>
      <c r="F331" s="6" t="s">
        <v>1007</v>
      </c>
      <c r="G331" s="6" t="s">
        <v>36</v>
      </c>
      <c r="H331" s="11" t="s">
        <v>109</v>
      </c>
      <c r="I331" s="11"/>
      <c r="J331" s="11" t="s">
        <v>473</v>
      </c>
      <c r="K331" s="11"/>
      <c r="L331" s="7">
        <v>45505</v>
      </c>
      <c r="M331" s="7"/>
      <c r="N331" s="6" t="s">
        <v>40</v>
      </c>
      <c r="O331" s="13">
        <v>575</v>
      </c>
      <c r="P331" s="6" t="s">
        <v>80</v>
      </c>
      <c r="Q331" s="36">
        <f>+O331/C331</f>
        <v>1.0454545454545454E-2</v>
      </c>
      <c r="R331" s="219"/>
      <c r="S331" s="17"/>
      <c r="T331" s="7">
        <v>45574</v>
      </c>
      <c r="U331" s="46" t="s">
        <v>43</v>
      </c>
      <c r="V331" s="7" t="s">
        <v>1001</v>
      </c>
      <c r="W331" s="10" t="s">
        <v>45</v>
      </c>
      <c r="X331" s="236">
        <v>59620</v>
      </c>
      <c r="Y331" s="11" t="s">
        <v>341</v>
      </c>
      <c r="Z331" s="11"/>
      <c r="AA331" s="78"/>
      <c r="AB331" s="7">
        <v>45576</v>
      </c>
      <c r="AC331" s="7">
        <v>45575</v>
      </c>
      <c r="AD331" s="242"/>
      <c r="AE331" s="71">
        <v>45584</v>
      </c>
      <c r="AF331" s="15"/>
      <c r="AG331" s="15"/>
      <c r="AH331" s="15"/>
      <c r="AI331" s="15"/>
      <c r="AJ331" s="15"/>
      <c r="AK331" s="15"/>
      <c r="AL331" s="15"/>
      <c r="AM331" s="15"/>
      <c r="AN331" s="15"/>
      <c r="AO331" s="15"/>
      <c r="AP331" s="15"/>
      <c r="AQ331" s="15"/>
      <c r="AR331" s="15"/>
      <c r="AS331" s="15"/>
      <c r="AT331" s="15"/>
      <c r="AU331" s="15"/>
    </row>
    <row r="332" spans="1:48" s="30" customFormat="1" ht="18.75" hidden="1" thickBot="1" x14ac:dyDescent="0.3">
      <c r="A332" s="16" t="s">
        <v>104</v>
      </c>
      <c r="B332" s="6">
        <v>27020</v>
      </c>
      <c r="C332" s="168">
        <v>55000</v>
      </c>
      <c r="D332" s="6" t="s">
        <v>33</v>
      </c>
      <c r="E332" s="6" t="s">
        <v>1008</v>
      </c>
      <c r="F332" s="6" t="s">
        <v>1009</v>
      </c>
      <c r="G332" s="6" t="s">
        <v>36</v>
      </c>
      <c r="H332" s="171" t="s">
        <v>109</v>
      </c>
      <c r="I332" s="11" t="s">
        <v>52</v>
      </c>
      <c r="J332" s="11" t="s">
        <v>473</v>
      </c>
      <c r="K332" s="171"/>
      <c r="L332" s="313">
        <v>45509</v>
      </c>
      <c r="M332" s="7"/>
      <c r="N332" s="6" t="s">
        <v>40</v>
      </c>
      <c r="O332" s="13">
        <v>575</v>
      </c>
      <c r="P332" s="6" t="s">
        <v>80</v>
      </c>
      <c r="Q332" s="41">
        <f>+O332/C332</f>
        <v>1.0454545454545454E-2</v>
      </c>
      <c r="R332" s="219"/>
      <c r="S332" s="178"/>
      <c r="T332" s="7">
        <v>45574</v>
      </c>
      <c r="U332" s="46" t="s">
        <v>43</v>
      </c>
      <c r="V332" s="7" t="s">
        <v>1010</v>
      </c>
      <c r="W332" s="10" t="s">
        <v>45</v>
      </c>
      <c r="X332" s="236">
        <v>59704</v>
      </c>
      <c r="Y332" s="11" t="s">
        <v>341</v>
      </c>
      <c r="Z332" s="11"/>
      <c r="AA332" s="78"/>
      <c r="AB332" s="7">
        <v>45575</v>
      </c>
      <c r="AC332" s="7">
        <v>45575</v>
      </c>
      <c r="AD332" s="242"/>
      <c r="AE332" s="71">
        <v>45584</v>
      </c>
      <c r="AF332" s="15"/>
      <c r="AG332" s="15"/>
      <c r="AH332" s="15"/>
      <c r="AI332" s="15"/>
      <c r="AJ332" s="15"/>
      <c r="AK332" s="15"/>
      <c r="AL332" s="15"/>
      <c r="AM332" s="15"/>
      <c r="AN332" s="15"/>
      <c r="AO332" s="15"/>
      <c r="AP332" s="15"/>
      <c r="AQ332" s="15"/>
      <c r="AR332" s="15"/>
      <c r="AS332" s="15"/>
      <c r="AT332" s="15"/>
      <c r="AU332" s="15"/>
    </row>
    <row r="333" spans="1:48" s="30" customFormat="1" ht="18" hidden="1" customHeight="1" x14ac:dyDescent="0.25">
      <c r="A333" s="21" t="s">
        <v>1011</v>
      </c>
      <c r="B333" s="22">
        <v>27788</v>
      </c>
      <c r="C333" s="23">
        <v>40000</v>
      </c>
      <c r="D333" s="22" t="s">
        <v>249</v>
      </c>
      <c r="E333" s="22" t="s">
        <v>1012</v>
      </c>
      <c r="F333" s="22"/>
      <c r="G333" s="22"/>
      <c r="H333" s="24" t="s">
        <v>37</v>
      </c>
      <c r="I333" s="24" t="s">
        <v>1013</v>
      </c>
      <c r="J333" s="24" t="s">
        <v>62</v>
      </c>
      <c r="K333" s="24"/>
      <c r="L333" s="25"/>
      <c r="M333" s="25"/>
      <c r="N333" s="22" t="s">
        <v>357</v>
      </c>
      <c r="O333" s="26">
        <v>6000</v>
      </c>
      <c r="P333" s="22" t="s">
        <v>80</v>
      </c>
      <c r="Q333" s="27">
        <f>+O333/C333</f>
        <v>0.15</v>
      </c>
      <c r="R333" s="217"/>
      <c r="S333" s="27"/>
      <c r="T333" s="24"/>
      <c r="U333" s="28" t="s">
        <v>66</v>
      </c>
      <c r="V333" s="25" t="s">
        <v>1010</v>
      </c>
      <c r="W333" s="24" t="s">
        <v>358</v>
      </c>
      <c r="X333" s="29">
        <v>112000</v>
      </c>
      <c r="Y333" s="24" t="s">
        <v>215</v>
      </c>
      <c r="Z333" s="24"/>
      <c r="AA333" s="78"/>
      <c r="AB333" s="78"/>
      <c r="AC333" s="7">
        <v>45579</v>
      </c>
      <c r="AD333" s="6"/>
      <c r="AE333" s="71">
        <v>45587</v>
      </c>
      <c r="AF333" s="15"/>
      <c r="AG333" s="15"/>
      <c r="AH333" s="15"/>
      <c r="AI333" s="15"/>
      <c r="AJ333" s="15"/>
      <c r="AK333" s="15"/>
      <c r="AL333" s="15"/>
      <c r="AM333" s="15"/>
      <c r="AN333" s="15"/>
      <c r="AO333" s="15"/>
      <c r="AP333" s="15"/>
      <c r="AQ333" s="15"/>
      <c r="AR333" s="15"/>
      <c r="AS333" s="15"/>
      <c r="AT333" s="15"/>
      <c r="AU333" s="15"/>
      <c r="AV333" s="15"/>
    </row>
    <row r="334" spans="1:48" s="30" customFormat="1" ht="18" hidden="1" customHeight="1" x14ac:dyDescent="0.25">
      <c r="A334" s="21" t="s">
        <v>718</v>
      </c>
      <c r="B334" s="22">
        <v>27345</v>
      </c>
      <c r="C334" s="246">
        <v>40000</v>
      </c>
      <c r="D334" s="22" t="s">
        <v>249</v>
      </c>
      <c r="E334" s="22" t="s">
        <v>605</v>
      </c>
      <c r="F334" s="22"/>
      <c r="G334" s="22"/>
      <c r="H334" s="24" t="s">
        <v>37</v>
      </c>
      <c r="I334" s="24" t="s">
        <v>720</v>
      </c>
      <c r="J334" s="24" t="s">
        <v>62</v>
      </c>
      <c r="K334" s="24"/>
      <c r="L334" s="255">
        <v>45576</v>
      </c>
      <c r="M334" s="25"/>
      <c r="N334" s="22" t="s">
        <v>441</v>
      </c>
      <c r="O334" s="247">
        <v>6100</v>
      </c>
      <c r="P334" s="22" t="s">
        <v>80</v>
      </c>
      <c r="Q334" s="27">
        <f>+O334/C334</f>
        <v>0.1525</v>
      </c>
      <c r="R334" s="217"/>
      <c r="S334" s="27"/>
      <c r="T334" s="24"/>
      <c r="U334" s="245" t="s">
        <v>66</v>
      </c>
      <c r="V334" s="25" t="s">
        <v>1010</v>
      </c>
      <c r="W334" s="24" t="s">
        <v>45</v>
      </c>
      <c r="X334" s="248">
        <v>116000</v>
      </c>
      <c r="Y334" s="24" t="s">
        <v>215</v>
      </c>
      <c r="Z334" s="24"/>
      <c r="AA334" s="78"/>
      <c r="AB334" s="78"/>
      <c r="AC334" s="7">
        <v>45577</v>
      </c>
      <c r="AD334" s="38"/>
      <c r="AE334" s="71">
        <v>45581</v>
      </c>
      <c r="AF334" s="15"/>
      <c r="AG334" s="15"/>
      <c r="AH334" s="15"/>
      <c r="AI334" s="15"/>
      <c r="AJ334" s="15"/>
      <c r="AK334" s="15"/>
      <c r="AL334" s="15"/>
      <c r="AM334" s="15"/>
      <c r="AN334" s="15"/>
      <c r="AO334" s="15"/>
      <c r="AP334" s="15"/>
      <c r="AQ334" s="15"/>
      <c r="AR334" s="15"/>
      <c r="AS334" s="15"/>
      <c r="AT334" s="15"/>
      <c r="AU334" s="15"/>
      <c r="AV334" s="15"/>
    </row>
    <row r="335" spans="1:48" s="30" customFormat="1" ht="18" hidden="1" customHeight="1" x14ac:dyDescent="0.25">
      <c r="A335" s="109" t="s">
        <v>718</v>
      </c>
      <c r="B335" s="22">
        <v>27343</v>
      </c>
      <c r="C335" s="246">
        <v>40000</v>
      </c>
      <c r="D335" s="256" t="s">
        <v>249</v>
      </c>
      <c r="E335" s="22" t="s">
        <v>605</v>
      </c>
      <c r="F335" s="22"/>
      <c r="G335" s="22"/>
      <c r="H335" s="24" t="s">
        <v>37</v>
      </c>
      <c r="I335" s="24" t="s">
        <v>720</v>
      </c>
      <c r="J335" s="24" t="s">
        <v>62</v>
      </c>
      <c r="K335" s="24"/>
      <c r="L335" s="25">
        <v>45573</v>
      </c>
      <c r="M335" s="25"/>
      <c r="N335" s="22" t="s">
        <v>103</v>
      </c>
      <c r="O335" s="247">
        <v>6100</v>
      </c>
      <c r="P335" s="22" t="s">
        <v>80</v>
      </c>
      <c r="Q335" s="27">
        <f>+O335/C335</f>
        <v>0.1525</v>
      </c>
      <c r="R335" s="217"/>
      <c r="S335" s="27"/>
      <c r="T335" s="24"/>
      <c r="U335" s="245" t="s">
        <v>66</v>
      </c>
      <c r="V335" s="25" t="s">
        <v>1010</v>
      </c>
      <c r="W335" s="24" t="s">
        <v>45</v>
      </c>
      <c r="X335" s="248">
        <v>116000</v>
      </c>
      <c r="Y335" s="24" t="s">
        <v>215</v>
      </c>
      <c r="Z335" s="24"/>
      <c r="AA335" s="78"/>
      <c r="AB335" s="78"/>
      <c r="AC335" s="7">
        <v>45578</v>
      </c>
      <c r="AD335" s="38"/>
      <c r="AE335" s="71">
        <v>45595</v>
      </c>
      <c r="AF335" s="15"/>
      <c r="AG335" s="15"/>
      <c r="AH335" s="15"/>
      <c r="AI335" s="15"/>
      <c r="AJ335" s="15"/>
      <c r="AK335" s="15"/>
      <c r="AL335" s="15"/>
      <c r="AM335" s="15"/>
      <c r="AN335" s="15"/>
      <c r="AO335" s="15"/>
      <c r="AP335" s="15"/>
      <c r="AQ335" s="15"/>
      <c r="AR335" s="15"/>
      <c r="AS335" s="15"/>
      <c r="AT335" s="15"/>
      <c r="AU335" s="15"/>
    </row>
    <row r="336" spans="1:48" s="30" customFormat="1" ht="18" hidden="1" customHeight="1" x14ac:dyDescent="0.25">
      <c r="A336" s="109" t="s">
        <v>259</v>
      </c>
      <c r="B336" s="22">
        <v>26346</v>
      </c>
      <c r="C336" s="23">
        <v>36250</v>
      </c>
      <c r="D336" s="256">
        <v>16</v>
      </c>
      <c r="E336" s="22" t="s">
        <v>519</v>
      </c>
      <c r="F336" s="22"/>
      <c r="G336" s="22"/>
      <c r="H336" s="22" t="s">
        <v>37</v>
      </c>
      <c r="I336" s="22" t="s">
        <v>261</v>
      </c>
      <c r="J336" s="22" t="s">
        <v>53</v>
      </c>
      <c r="K336" s="22"/>
      <c r="L336" s="255">
        <v>45586</v>
      </c>
      <c r="M336" s="25"/>
      <c r="N336" s="22"/>
      <c r="O336" s="26">
        <v>0</v>
      </c>
      <c r="P336" s="22"/>
      <c r="Q336" s="27"/>
      <c r="R336" s="217"/>
      <c r="S336" s="27"/>
      <c r="T336" s="24"/>
      <c r="U336" s="28" t="s">
        <v>66</v>
      </c>
      <c r="V336" s="25" t="s">
        <v>1014</v>
      </c>
      <c r="W336" s="24" t="s">
        <v>45</v>
      </c>
      <c r="X336" s="29">
        <v>62775</v>
      </c>
      <c r="Y336" s="24" t="s">
        <v>215</v>
      </c>
      <c r="Z336" s="24"/>
      <c r="AA336" s="78"/>
      <c r="AB336" s="78"/>
      <c r="AC336" s="78"/>
      <c r="AD336" s="182"/>
      <c r="AE336" s="263" t="s">
        <v>378</v>
      </c>
      <c r="AF336" s="15"/>
      <c r="AG336" s="15"/>
      <c r="AH336" s="15"/>
      <c r="AI336" s="15"/>
      <c r="AJ336" s="15"/>
      <c r="AK336" s="15"/>
      <c r="AL336" s="15"/>
      <c r="AM336" s="15"/>
      <c r="AN336" s="15"/>
      <c r="AO336" s="15"/>
      <c r="AP336" s="15"/>
      <c r="AQ336" s="15"/>
      <c r="AR336" s="15"/>
      <c r="AS336" s="15"/>
      <c r="AT336" s="15"/>
      <c r="AU336" s="15"/>
    </row>
    <row r="337" spans="1:48" s="30" customFormat="1" ht="18" hidden="1" customHeight="1" x14ac:dyDescent="0.25">
      <c r="A337" s="109" t="s">
        <v>1015</v>
      </c>
      <c r="B337" s="22">
        <v>27795</v>
      </c>
      <c r="C337" s="23">
        <v>42000</v>
      </c>
      <c r="D337" s="22" t="s">
        <v>249</v>
      </c>
      <c r="E337" s="22" t="s">
        <v>1016</v>
      </c>
      <c r="F337" s="22"/>
      <c r="G337" s="22"/>
      <c r="H337" s="22" t="s">
        <v>37</v>
      </c>
      <c r="I337" s="22" t="s">
        <v>931</v>
      </c>
      <c r="J337" s="22" t="s">
        <v>62</v>
      </c>
      <c r="K337" s="22"/>
      <c r="L337" s="255">
        <v>45582</v>
      </c>
      <c r="M337" s="25"/>
      <c r="N337" s="22" t="s">
        <v>441</v>
      </c>
      <c r="O337" s="26">
        <v>6100</v>
      </c>
      <c r="P337" s="22" t="s">
        <v>80</v>
      </c>
      <c r="Q337" s="26"/>
      <c r="R337" s="217"/>
      <c r="S337" s="27"/>
      <c r="T337" s="24"/>
      <c r="U337" s="28" t="s">
        <v>66</v>
      </c>
      <c r="V337" s="25" t="s">
        <v>1014</v>
      </c>
      <c r="W337" s="24" t="s">
        <v>45</v>
      </c>
      <c r="X337" s="29">
        <v>115080</v>
      </c>
      <c r="Y337" s="24" t="s">
        <v>215</v>
      </c>
      <c r="Z337" s="261"/>
      <c r="AA337" s="351"/>
      <c r="AB337" s="351"/>
      <c r="AC337" s="7">
        <v>45584</v>
      </c>
      <c r="AD337" s="6"/>
      <c r="AE337" s="71">
        <v>45588</v>
      </c>
      <c r="AF337" s="15"/>
      <c r="AG337" s="15"/>
      <c r="AH337" s="15"/>
      <c r="AI337" s="15"/>
      <c r="AJ337" s="15"/>
      <c r="AK337" s="15"/>
      <c r="AL337" s="15"/>
      <c r="AM337" s="15"/>
      <c r="AN337" s="15"/>
      <c r="AO337" s="15"/>
      <c r="AP337" s="15"/>
      <c r="AQ337" s="15"/>
      <c r="AR337" s="15"/>
      <c r="AS337" s="15"/>
      <c r="AT337" s="15"/>
      <c r="AU337" s="15"/>
      <c r="AV337" s="15"/>
    </row>
    <row r="338" spans="1:48" s="2" customFormat="1" ht="18" hidden="1" x14ac:dyDescent="0.25">
      <c r="A338" s="230" t="s">
        <v>175</v>
      </c>
      <c r="B338" s="98">
        <v>26449</v>
      </c>
      <c r="C338" s="99">
        <v>44000</v>
      </c>
      <c r="D338" s="100" t="s">
        <v>105</v>
      </c>
      <c r="E338" s="101" t="s">
        <v>360</v>
      </c>
      <c r="F338" s="31" t="s">
        <v>1017</v>
      </c>
      <c r="G338" s="100" t="s">
        <v>130</v>
      </c>
      <c r="H338" s="31" t="s">
        <v>37</v>
      </c>
      <c r="I338" s="100" t="s">
        <v>74</v>
      </c>
      <c r="J338" s="100" t="s">
        <v>75</v>
      </c>
      <c r="K338" s="100"/>
      <c r="L338" s="102">
        <v>45550</v>
      </c>
      <c r="M338" s="103" t="s">
        <v>861</v>
      </c>
      <c r="N338" s="98"/>
      <c r="O338" s="105">
        <v>3635</v>
      </c>
      <c r="P338" s="98" t="s">
        <v>41</v>
      </c>
      <c r="Q338" s="123"/>
      <c r="R338" s="102"/>
      <c r="S338" s="123"/>
      <c r="T338" s="34">
        <v>45583</v>
      </c>
      <c r="U338" s="100" t="s">
        <v>1018</v>
      </c>
      <c r="V338" s="34" t="s">
        <v>1014</v>
      </c>
      <c r="W338" s="107" t="s">
        <v>1019</v>
      </c>
      <c r="X338" s="62">
        <v>38992</v>
      </c>
      <c r="Y338" s="108" t="s">
        <v>341</v>
      </c>
      <c r="Z338" s="108"/>
      <c r="AA338" s="78"/>
      <c r="AB338" s="71">
        <v>45581</v>
      </c>
      <c r="AC338" s="71">
        <v>45583</v>
      </c>
      <c r="AD338" s="79"/>
      <c r="AE338" s="71">
        <v>45590</v>
      </c>
    </row>
    <row r="339" spans="1:48" s="30" customFormat="1" ht="18" hidden="1" customHeight="1" x14ac:dyDescent="0.25">
      <c r="A339" s="21" t="s">
        <v>248</v>
      </c>
      <c r="B339" s="22">
        <v>27504</v>
      </c>
      <c r="C339" s="23">
        <v>40950</v>
      </c>
      <c r="D339" s="22" t="s">
        <v>249</v>
      </c>
      <c r="E339" s="22" t="s">
        <v>250</v>
      </c>
      <c r="F339" s="22"/>
      <c r="G339" s="22"/>
      <c r="H339" s="22" t="s">
        <v>60</v>
      </c>
      <c r="I339" s="22"/>
      <c r="J339" s="22"/>
      <c r="K339" s="22"/>
      <c r="L339" s="25" t="s">
        <v>1020</v>
      </c>
      <c r="M339" s="25"/>
      <c r="N339" s="22"/>
      <c r="O339" s="26">
        <v>0</v>
      </c>
      <c r="P339" s="22"/>
      <c r="Q339" s="259"/>
      <c r="R339" s="244"/>
      <c r="S339" s="315"/>
      <c r="T339" s="407"/>
      <c r="U339" s="245" t="s">
        <v>66</v>
      </c>
      <c r="V339" s="25" t="s">
        <v>1014</v>
      </c>
      <c r="W339" s="24" t="s">
        <v>358</v>
      </c>
      <c r="X339" s="29">
        <v>69615</v>
      </c>
      <c r="Y339" s="24" t="s">
        <v>215</v>
      </c>
      <c r="Z339" s="24"/>
      <c r="AA339" s="78"/>
      <c r="AB339" s="351"/>
      <c r="AC339" s="64">
        <v>45587</v>
      </c>
      <c r="AD339" s="38"/>
      <c r="AE339" s="71" t="s">
        <v>378</v>
      </c>
      <c r="AF339" s="15"/>
      <c r="AG339" s="15"/>
      <c r="AH339" s="15"/>
      <c r="AI339" s="15"/>
      <c r="AJ339" s="15"/>
      <c r="AK339" s="15"/>
      <c r="AL339" s="15"/>
      <c r="AM339" s="15"/>
      <c r="AN339" s="15"/>
      <c r="AO339" s="15"/>
      <c r="AP339" s="15"/>
      <c r="AQ339" s="15"/>
      <c r="AR339" s="15"/>
      <c r="AS339" s="15"/>
      <c r="AT339" s="15"/>
      <c r="AU339" s="15"/>
    </row>
    <row r="340" spans="1:48" s="30" customFormat="1" ht="18" hidden="1" customHeight="1" x14ac:dyDescent="0.25">
      <c r="A340" s="109" t="s">
        <v>259</v>
      </c>
      <c r="B340" s="22">
        <v>24557</v>
      </c>
      <c r="C340" s="23">
        <v>40500</v>
      </c>
      <c r="D340" s="22" t="s">
        <v>249</v>
      </c>
      <c r="E340" s="22" t="s">
        <v>260</v>
      </c>
      <c r="F340" s="22"/>
      <c r="G340" s="22"/>
      <c r="H340" s="22" t="s">
        <v>37</v>
      </c>
      <c r="I340" s="22" t="s">
        <v>261</v>
      </c>
      <c r="J340" s="22" t="s">
        <v>53</v>
      </c>
      <c r="K340" s="22"/>
      <c r="L340" s="255">
        <v>45588</v>
      </c>
      <c r="M340" s="25"/>
      <c r="N340" s="22"/>
      <c r="O340" s="26">
        <v>0</v>
      </c>
      <c r="P340" s="22"/>
      <c r="Q340" s="259"/>
      <c r="R340" s="217"/>
      <c r="S340" s="27"/>
      <c r="T340" s="24"/>
      <c r="U340" s="28" t="s">
        <v>66</v>
      </c>
      <c r="V340" s="25" t="s">
        <v>1014</v>
      </c>
      <c r="W340" s="24" t="s">
        <v>45</v>
      </c>
      <c r="X340" s="29">
        <v>55485</v>
      </c>
      <c r="Y340" s="24" t="s">
        <v>215</v>
      </c>
      <c r="Z340" s="261"/>
      <c r="AA340" s="351"/>
      <c r="AB340" s="351"/>
      <c r="AC340" s="78"/>
      <c r="AD340" s="38"/>
      <c r="AE340" s="71" t="s">
        <v>378</v>
      </c>
      <c r="AF340" s="15"/>
      <c r="AG340" s="15"/>
      <c r="AH340" s="15"/>
      <c r="AI340" s="15"/>
      <c r="AJ340" s="15"/>
      <c r="AK340" s="15"/>
      <c r="AL340" s="15"/>
      <c r="AM340" s="15"/>
      <c r="AN340" s="15"/>
      <c r="AO340" s="15"/>
      <c r="AP340" s="15"/>
      <c r="AQ340" s="15"/>
      <c r="AR340" s="15"/>
      <c r="AS340" s="15"/>
      <c r="AT340" s="15"/>
      <c r="AU340" s="15"/>
      <c r="AV340" s="15"/>
    </row>
    <row r="341" spans="1:48" s="15" customFormat="1" ht="18.75" hidden="1" customHeight="1" thickBot="1" x14ac:dyDescent="0.3">
      <c r="A341" s="16" t="s">
        <v>978</v>
      </c>
      <c r="B341" s="167">
        <v>27124</v>
      </c>
      <c r="C341" s="168">
        <v>55000</v>
      </c>
      <c r="D341" s="167" t="s">
        <v>48</v>
      </c>
      <c r="E341" s="167" t="s">
        <v>996</v>
      </c>
      <c r="F341" s="167" t="s">
        <v>1021</v>
      </c>
      <c r="G341" s="167" t="s">
        <v>36</v>
      </c>
      <c r="H341" s="169" t="s">
        <v>37</v>
      </c>
      <c r="I341" s="169" t="s">
        <v>281</v>
      </c>
      <c r="J341" s="169" t="s">
        <v>120</v>
      </c>
      <c r="K341" s="198"/>
      <c r="L341" s="397">
        <v>45530</v>
      </c>
      <c r="M341" s="7" t="s">
        <v>39</v>
      </c>
      <c r="N341" s="73" t="s">
        <v>40</v>
      </c>
      <c r="O341" s="13">
        <f>9385+400</f>
        <v>9785</v>
      </c>
      <c r="P341" s="6" t="s">
        <v>41</v>
      </c>
      <c r="Q341" s="19">
        <f t="shared" ref="Q341:Q351" si="13">+O341/C341</f>
        <v>0.17790909090909091</v>
      </c>
      <c r="R341" s="65">
        <v>45580</v>
      </c>
      <c r="S341" s="41" t="s">
        <v>65</v>
      </c>
      <c r="T341" s="7">
        <v>45587</v>
      </c>
      <c r="U341" s="67" t="s">
        <v>76</v>
      </c>
      <c r="V341" s="7" t="s">
        <v>1014</v>
      </c>
      <c r="W341" s="149" t="s">
        <v>334</v>
      </c>
      <c r="X341" s="236">
        <v>138600</v>
      </c>
      <c r="Y341" s="11" t="s">
        <v>341</v>
      </c>
      <c r="Z341" s="171"/>
      <c r="AA341" s="351"/>
      <c r="AB341" s="64">
        <v>45588</v>
      </c>
      <c r="AC341" s="64">
        <v>45587</v>
      </c>
      <c r="AD341" s="38"/>
      <c r="AE341" s="263">
        <v>45587</v>
      </c>
    </row>
    <row r="342" spans="1:48" s="2" customFormat="1" ht="18.75" hidden="1" thickBot="1" x14ac:dyDescent="0.3">
      <c r="A342" s="226" t="s">
        <v>1022</v>
      </c>
      <c r="B342" s="408" t="s">
        <v>1023</v>
      </c>
      <c r="C342" s="5">
        <v>55000</v>
      </c>
      <c r="D342" s="4" t="s">
        <v>48</v>
      </c>
      <c r="E342" s="12" t="s">
        <v>715</v>
      </c>
      <c r="F342" s="4" t="s">
        <v>1024</v>
      </c>
      <c r="G342" s="6" t="s">
        <v>36</v>
      </c>
      <c r="H342" s="4" t="s">
        <v>51</v>
      </c>
      <c r="I342" s="6" t="s">
        <v>52</v>
      </c>
      <c r="J342" s="4" t="s">
        <v>493</v>
      </c>
      <c r="K342" s="169"/>
      <c r="L342" s="313">
        <v>45529</v>
      </c>
      <c r="M342" s="393"/>
      <c r="N342" s="144" t="s">
        <v>40</v>
      </c>
      <c r="O342" s="377">
        <v>575</v>
      </c>
      <c r="P342" s="45" t="s">
        <v>80</v>
      </c>
      <c r="Q342" s="154">
        <f t="shared" si="13"/>
        <v>1.0454545454545454E-2</v>
      </c>
      <c r="R342" s="65"/>
      <c r="S342" s="41"/>
      <c r="T342" s="65">
        <v>45587</v>
      </c>
      <c r="U342" s="46" t="s">
        <v>43</v>
      </c>
      <c r="V342" s="7" t="s">
        <v>1014</v>
      </c>
      <c r="W342" s="149" t="s">
        <v>358</v>
      </c>
      <c r="X342" s="236">
        <f>35500-12300</f>
        <v>23200</v>
      </c>
      <c r="Y342" s="47" t="s">
        <v>341</v>
      </c>
      <c r="Z342" s="47"/>
      <c r="AA342" s="78"/>
      <c r="AB342" s="71">
        <v>45587</v>
      </c>
      <c r="AC342" s="7">
        <v>45586</v>
      </c>
      <c r="AD342" s="11"/>
      <c r="AE342" s="7">
        <v>45596</v>
      </c>
      <c r="AF342" s="15"/>
      <c r="AG342" s="15"/>
      <c r="AH342" s="15"/>
      <c r="AI342" s="15"/>
      <c r="AJ342" s="15"/>
      <c r="AK342" s="15"/>
      <c r="AL342" s="15"/>
      <c r="AM342" s="15"/>
      <c r="AN342" s="15"/>
      <c r="AO342" s="15"/>
      <c r="AP342" s="15"/>
    </row>
    <row r="343" spans="1:48" s="2" customFormat="1" ht="22.5" hidden="1" customHeight="1" thickBot="1" x14ac:dyDescent="0.3">
      <c r="A343" s="226" t="s">
        <v>1025</v>
      </c>
      <c r="B343" s="408" t="s">
        <v>1026</v>
      </c>
      <c r="C343" s="168">
        <v>55000</v>
      </c>
      <c r="D343" s="4" t="s">
        <v>48</v>
      </c>
      <c r="E343" s="409" t="s">
        <v>715</v>
      </c>
      <c r="F343" s="4" t="s">
        <v>1027</v>
      </c>
      <c r="G343" s="6" t="s">
        <v>36</v>
      </c>
      <c r="H343" s="4" t="s">
        <v>51</v>
      </c>
      <c r="I343" s="6" t="s">
        <v>52</v>
      </c>
      <c r="J343" s="165" t="s">
        <v>493</v>
      </c>
      <c r="K343" s="198"/>
      <c r="L343" s="313">
        <v>45529</v>
      </c>
      <c r="M343" s="8"/>
      <c r="N343" s="73" t="s">
        <v>40</v>
      </c>
      <c r="O343" s="250">
        <v>575</v>
      </c>
      <c r="P343" s="6" t="s">
        <v>80</v>
      </c>
      <c r="Q343" s="41">
        <f t="shared" si="13"/>
        <v>1.0454545454545454E-2</v>
      </c>
      <c r="R343" s="7"/>
      <c r="S343" s="41"/>
      <c r="T343" s="65">
        <v>45590</v>
      </c>
      <c r="U343" s="46" t="s">
        <v>43</v>
      </c>
      <c r="V343" s="64" t="s">
        <v>1028</v>
      </c>
      <c r="W343" s="10" t="s">
        <v>45</v>
      </c>
      <c r="X343" s="236">
        <f>35500-12300</f>
        <v>23200</v>
      </c>
      <c r="Y343" s="11" t="s">
        <v>341</v>
      </c>
      <c r="Z343" s="11"/>
      <c r="AA343" s="78"/>
      <c r="AB343" s="71">
        <v>45587</v>
      </c>
      <c r="AC343" s="7">
        <v>45586</v>
      </c>
      <c r="AD343" s="11"/>
      <c r="AE343" s="7">
        <v>45596</v>
      </c>
      <c r="AF343" s="15"/>
      <c r="AG343" s="15"/>
      <c r="AH343" s="15"/>
      <c r="AI343" s="15"/>
      <c r="AJ343" s="15"/>
      <c r="AK343" s="15"/>
      <c r="AL343" s="15"/>
      <c r="AM343" s="15"/>
      <c r="AN343" s="15"/>
      <c r="AO343" s="15"/>
      <c r="AP343" s="15"/>
    </row>
    <row r="344" spans="1:48" s="2" customFormat="1" ht="18.75" hidden="1" thickBot="1" x14ac:dyDescent="0.3">
      <c r="A344" s="9" t="s">
        <v>1029</v>
      </c>
      <c r="B344" s="231">
        <v>26325</v>
      </c>
      <c r="C344" s="5">
        <v>55000</v>
      </c>
      <c r="D344" s="4" t="s">
        <v>48</v>
      </c>
      <c r="E344" s="12" t="s">
        <v>715</v>
      </c>
      <c r="F344" s="4" t="s">
        <v>1030</v>
      </c>
      <c r="G344" s="6" t="s">
        <v>36</v>
      </c>
      <c r="H344" s="4" t="s">
        <v>51</v>
      </c>
      <c r="I344" s="6" t="s">
        <v>52</v>
      </c>
      <c r="J344" s="4" t="s">
        <v>493</v>
      </c>
      <c r="K344" s="169"/>
      <c r="L344" s="313">
        <v>45529</v>
      </c>
      <c r="M344" s="8"/>
      <c r="N344" s="73" t="s">
        <v>40</v>
      </c>
      <c r="O344" s="250">
        <v>575</v>
      </c>
      <c r="P344" s="6" t="s">
        <v>80</v>
      </c>
      <c r="Q344" s="41">
        <f t="shared" si="13"/>
        <v>1.0454545454545454E-2</v>
      </c>
      <c r="R344" s="7"/>
      <c r="S344" s="41"/>
      <c r="T344" s="65">
        <v>45590</v>
      </c>
      <c r="U344" s="46" t="s">
        <v>43</v>
      </c>
      <c r="V344" s="64" t="s">
        <v>1028</v>
      </c>
      <c r="W344" s="10" t="s">
        <v>45</v>
      </c>
      <c r="X344" s="236">
        <v>35500</v>
      </c>
      <c r="Y344" s="11" t="s">
        <v>341</v>
      </c>
      <c r="Z344" s="11"/>
      <c r="AA344" s="78"/>
      <c r="AB344" s="71">
        <v>45587</v>
      </c>
      <c r="AC344" s="7">
        <v>45586</v>
      </c>
      <c r="AD344" s="11"/>
      <c r="AE344" s="7">
        <v>45596</v>
      </c>
      <c r="AF344" s="15"/>
      <c r="AG344" s="15"/>
      <c r="AH344" s="15"/>
      <c r="AI344" s="15"/>
      <c r="AJ344" s="15"/>
      <c r="AK344" s="15"/>
      <c r="AL344" s="15"/>
      <c r="AM344" s="15"/>
      <c r="AN344" s="15"/>
      <c r="AO344" s="15"/>
      <c r="AP344" s="15"/>
    </row>
    <row r="345" spans="1:48" s="30" customFormat="1" ht="18" hidden="1" customHeight="1" x14ac:dyDescent="0.25">
      <c r="A345" s="410" t="s">
        <v>1031</v>
      </c>
      <c r="B345" s="256">
        <v>27811</v>
      </c>
      <c r="C345" s="246">
        <v>23250</v>
      </c>
      <c r="D345" s="256">
        <v>12</v>
      </c>
      <c r="E345" s="256" t="s">
        <v>1032</v>
      </c>
      <c r="F345" s="256"/>
      <c r="G345" s="256"/>
      <c r="H345" s="256" t="s">
        <v>37</v>
      </c>
      <c r="I345" s="256" t="s">
        <v>1033</v>
      </c>
      <c r="J345" s="256" t="s">
        <v>62</v>
      </c>
      <c r="K345" s="256"/>
      <c r="L345" s="25">
        <v>45586</v>
      </c>
      <c r="M345" s="314"/>
      <c r="N345" s="28" t="s">
        <v>441</v>
      </c>
      <c r="O345" s="411">
        <v>2727</v>
      </c>
      <c r="P345" s="22" t="s">
        <v>80</v>
      </c>
      <c r="Q345" s="259">
        <f t="shared" si="13"/>
        <v>0.11729032258064516</v>
      </c>
      <c r="R345" s="217"/>
      <c r="S345" s="27"/>
      <c r="T345" s="24"/>
      <c r="U345" s="245" t="s">
        <v>66</v>
      </c>
      <c r="V345" s="25" t="s">
        <v>1028</v>
      </c>
      <c r="W345" s="24" t="s">
        <v>45</v>
      </c>
      <c r="X345" s="412">
        <v>77385</v>
      </c>
      <c r="Y345" s="24" t="s">
        <v>215</v>
      </c>
      <c r="Z345" s="24"/>
      <c r="AA345" s="78"/>
      <c r="AB345" s="78"/>
      <c r="AC345" s="64">
        <v>45590</v>
      </c>
      <c r="AD345" s="38"/>
      <c r="AE345" s="263">
        <v>45593</v>
      </c>
      <c r="AF345" s="15"/>
      <c r="AG345" s="15"/>
      <c r="AH345" s="15"/>
      <c r="AI345" s="15"/>
      <c r="AJ345" s="15"/>
      <c r="AK345" s="15"/>
      <c r="AL345" s="15"/>
      <c r="AM345" s="15"/>
      <c r="AN345" s="15"/>
      <c r="AO345" s="15"/>
      <c r="AP345" s="15"/>
      <c r="AQ345" s="15"/>
      <c r="AR345" s="15"/>
      <c r="AS345" s="15"/>
      <c r="AT345" s="15"/>
      <c r="AU345" s="15"/>
      <c r="AV345" s="15"/>
    </row>
    <row r="346" spans="1:48" s="30" customFormat="1" ht="18" hidden="1" customHeight="1" x14ac:dyDescent="0.25">
      <c r="A346" s="109" t="s">
        <v>532</v>
      </c>
      <c r="B346" s="22">
        <v>27761</v>
      </c>
      <c r="C346" s="246">
        <v>18000</v>
      </c>
      <c r="D346" s="22">
        <v>9</v>
      </c>
      <c r="E346" s="22" t="s">
        <v>1034</v>
      </c>
      <c r="F346" s="22"/>
      <c r="G346" s="22"/>
      <c r="H346" s="22" t="s">
        <v>37</v>
      </c>
      <c r="I346" s="22" t="s">
        <v>729</v>
      </c>
      <c r="J346" s="22" t="s">
        <v>62</v>
      </c>
      <c r="K346" s="22"/>
      <c r="L346" s="25">
        <v>45586</v>
      </c>
      <c r="M346" s="25"/>
      <c r="N346" s="28" t="s">
        <v>441</v>
      </c>
      <c r="O346" s="247">
        <v>3472</v>
      </c>
      <c r="P346" s="22" t="s">
        <v>80</v>
      </c>
      <c r="Q346" s="259">
        <f t="shared" si="13"/>
        <v>0.19288888888888889</v>
      </c>
      <c r="R346" s="217"/>
      <c r="S346" s="27"/>
      <c r="T346" s="24"/>
      <c r="U346" s="245" t="s">
        <v>66</v>
      </c>
      <c r="V346" s="25" t="s">
        <v>1028</v>
      </c>
      <c r="W346" s="24" t="s">
        <v>45</v>
      </c>
      <c r="X346" s="248">
        <v>57390</v>
      </c>
      <c r="Y346" s="24" t="s">
        <v>215</v>
      </c>
      <c r="Z346" s="24"/>
      <c r="AA346" s="78"/>
      <c r="AB346" s="78"/>
      <c r="AC346" s="64">
        <v>45590</v>
      </c>
      <c r="AD346" s="38"/>
      <c r="AE346" s="263">
        <v>45593</v>
      </c>
      <c r="AF346" s="15"/>
      <c r="AG346" s="15"/>
      <c r="AH346" s="15"/>
      <c r="AI346" s="15"/>
      <c r="AJ346" s="15"/>
      <c r="AK346" s="15"/>
      <c r="AL346" s="15"/>
      <c r="AM346" s="15"/>
      <c r="AN346" s="15"/>
      <c r="AO346" s="15"/>
      <c r="AP346" s="15"/>
      <c r="AQ346" s="15"/>
      <c r="AR346" s="15"/>
      <c r="AS346" s="15"/>
      <c r="AT346" s="15"/>
      <c r="AU346" s="15"/>
      <c r="AV346" s="15"/>
    </row>
    <row r="347" spans="1:48" s="30" customFormat="1" ht="18" hidden="1" customHeight="1" x14ac:dyDescent="0.25">
      <c r="A347" s="109" t="s">
        <v>1031</v>
      </c>
      <c r="B347" s="22">
        <v>27850</v>
      </c>
      <c r="C347" s="246">
        <v>40000</v>
      </c>
      <c r="D347" s="256" t="s">
        <v>249</v>
      </c>
      <c r="E347" s="22" t="s">
        <v>1035</v>
      </c>
      <c r="F347" s="22"/>
      <c r="G347" s="22"/>
      <c r="H347" s="22" t="s">
        <v>164</v>
      </c>
      <c r="I347" s="22" t="s">
        <v>1033</v>
      </c>
      <c r="J347" s="22" t="s">
        <v>62</v>
      </c>
      <c r="K347" s="22"/>
      <c r="L347" s="25">
        <v>45586</v>
      </c>
      <c r="M347" s="25"/>
      <c r="N347" s="28" t="s">
        <v>441</v>
      </c>
      <c r="O347" s="247">
        <v>6100</v>
      </c>
      <c r="P347" s="22" t="s">
        <v>80</v>
      </c>
      <c r="Q347" s="259">
        <f t="shared" si="13"/>
        <v>0.1525</v>
      </c>
      <c r="R347" s="217"/>
      <c r="S347" s="27"/>
      <c r="T347" s="24"/>
      <c r="U347" s="245" t="s">
        <v>66</v>
      </c>
      <c r="V347" s="25" t="s">
        <v>1028</v>
      </c>
      <c r="W347" s="24" t="s">
        <v>45</v>
      </c>
      <c r="X347" s="248">
        <v>108000</v>
      </c>
      <c r="Y347" s="24" t="s">
        <v>215</v>
      </c>
      <c r="Z347" s="24"/>
      <c r="AA347" s="78"/>
      <c r="AB347" s="78"/>
      <c r="AC347" s="64">
        <v>45590</v>
      </c>
      <c r="AD347" s="38"/>
      <c r="AE347" s="71">
        <v>45593</v>
      </c>
      <c r="AF347" s="15"/>
      <c r="AG347" s="15"/>
      <c r="AH347" s="15"/>
      <c r="AI347" s="15"/>
      <c r="AJ347" s="15"/>
      <c r="AK347" s="15"/>
      <c r="AL347" s="15"/>
      <c r="AM347" s="15"/>
      <c r="AN347" s="15"/>
      <c r="AO347" s="15"/>
      <c r="AP347" s="15"/>
      <c r="AQ347" s="15"/>
      <c r="AR347" s="15"/>
      <c r="AS347" s="15"/>
      <c r="AT347" s="15"/>
      <c r="AU347" s="15"/>
      <c r="AV347" s="15"/>
    </row>
    <row r="348" spans="1:48" s="30" customFormat="1" ht="18" hidden="1" customHeight="1" x14ac:dyDescent="0.25">
      <c r="A348" s="109" t="s">
        <v>251</v>
      </c>
      <c r="B348" s="22">
        <v>27580</v>
      </c>
      <c r="C348" s="23">
        <v>40500</v>
      </c>
      <c r="D348" s="22" t="s">
        <v>249</v>
      </c>
      <c r="E348" s="22" t="s">
        <v>1036</v>
      </c>
      <c r="F348" s="22"/>
      <c r="G348" s="22"/>
      <c r="H348" s="22" t="s">
        <v>37</v>
      </c>
      <c r="I348" s="22" t="s">
        <v>253</v>
      </c>
      <c r="J348" s="22" t="s">
        <v>62</v>
      </c>
      <c r="K348" s="22"/>
      <c r="L348" s="25">
        <v>45587</v>
      </c>
      <c r="M348" s="25"/>
      <c r="N348" s="22" t="s">
        <v>441</v>
      </c>
      <c r="O348" s="26">
        <v>6100</v>
      </c>
      <c r="P348" s="22" t="s">
        <v>80</v>
      </c>
      <c r="Q348" s="259">
        <f t="shared" si="13"/>
        <v>0.1506172839506173</v>
      </c>
      <c r="R348" s="217"/>
      <c r="S348" s="27"/>
      <c r="T348" s="24"/>
      <c r="U348" s="28" t="s">
        <v>66</v>
      </c>
      <c r="V348" s="25" t="s">
        <v>1028</v>
      </c>
      <c r="W348" s="24" t="s">
        <v>45</v>
      </c>
      <c r="X348" s="29">
        <v>96390</v>
      </c>
      <c r="Y348" s="24" t="s">
        <v>215</v>
      </c>
      <c r="Z348" s="24"/>
      <c r="AA348" s="78"/>
      <c r="AB348" s="78"/>
      <c r="AC348" s="64">
        <v>45592</v>
      </c>
      <c r="AD348" s="316" t="s">
        <v>928</v>
      </c>
      <c r="AE348" s="71">
        <v>45593</v>
      </c>
      <c r="AF348" s="15"/>
      <c r="AG348" s="15"/>
      <c r="AH348" s="15"/>
      <c r="AI348" s="15"/>
      <c r="AJ348" s="15"/>
      <c r="AK348" s="15"/>
      <c r="AL348" s="15"/>
      <c r="AM348" s="15"/>
      <c r="AN348" s="15"/>
      <c r="AO348" s="15"/>
      <c r="AP348" s="15"/>
      <c r="AQ348" s="15"/>
      <c r="AR348" s="15"/>
      <c r="AS348" s="15"/>
      <c r="AT348" s="15"/>
      <c r="AU348" s="15"/>
    </row>
    <row r="349" spans="1:48" s="30" customFormat="1" ht="18" hidden="1" customHeight="1" x14ac:dyDescent="0.25">
      <c r="A349" s="109" t="s">
        <v>251</v>
      </c>
      <c r="B349" s="22">
        <v>26649</v>
      </c>
      <c r="C349" s="23">
        <v>40500</v>
      </c>
      <c r="D349" s="22" t="s">
        <v>249</v>
      </c>
      <c r="E349" s="22" t="s">
        <v>421</v>
      </c>
      <c r="F349" s="22"/>
      <c r="G349" s="22"/>
      <c r="H349" s="22" t="s">
        <v>37</v>
      </c>
      <c r="I349" s="22" t="s">
        <v>253</v>
      </c>
      <c r="J349" s="22" t="s">
        <v>62</v>
      </c>
      <c r="K349" s="22"/>
      <c r="L349" s="25">
        <v>45590</v>
      </c>
      <c r="M349" s="25"/>
      <c r="N349" s="22" t="s">
        <v>441</v>
      </c>
      <c r="O349" s="26">
        <v>6100</v>
      </c>
      <c r="P349" s="22" t="s">
        <v>80</v>
      </c>
      <c r="Q349" s="259">
        <f t="shared" si="13"/>
        <v>0.1506172839506173</v>
      </c>
      <c r="R349" s="217"/>
      <c r="S349" s="27"/>
      <c r="T349" s="24"/>
      <c r="U349" s="28" t="s">
        <v>66</v>
      </c>
      <c r="V349" s="25" t="s">
        <v>1028</v>
      </c>
      <c r="W349" s="24" t="s">
        <v>45</v>
      </c>
      <c r="X349" s="29">
        <v>91125</v>
      </c>
      <c r="Y349" s="24" t="s">
        <v>215</v>
      </c>
      <c r="Z349" s="24"/>
      <c r="AA349" s="78"/>
      <c r="AB349" s="78"/>
      <c r="AC349" s="64">
        <v>45594</v>
      </c>
      <c r="AD349" s="316" t="s">
        <v>928</v>
      </c>
      <c r="AE349" s="71">
        <v>45595</v>
      </c>
      <c r="AF349" s="15"/>
      <c r="AG349" s="15"/>
      <c r="AH349" s="15"/>
      <c r="AI349" s="15"/>
      <c r="AJ349" s="15"/>
      <c r="AK349" s="15"/>
      <c r="AL349" s="15"/>
      <c r="AM349" s="15"/>
      <c r="AN349" s="15"/>
      <c r="AO349" s="15"/>
      <c r="AP349" s="15"/>
      <c r="AQ349" s="15"/>
      <c r="AR349" s="15"/>
      <c r="AS349" s="15"/>
      <c r="AT349" s="15"/>
      <c r="AU349" s="15"/>
      <c r="AV349" s="15"/>
    </row>
    <row r="350" spans="1:48" s="30" customFormat="1" ht="18" hidden="1" customHeight="1" thickBot="1" x14ac:dyDescent="0.3">
      <c r="A350" s="16" t="s">
        <v>1037</v>
      </c>
      <c r="B350" s="6">
        <v>27128</v>
      </c>
      <c r="C350" s="168">
        <v>55000</v>
      </c>
      <c r="D350" s="167" t="s">
        <v>48</v>
      </c>
      <c r="E350" s="167" t="s">
        <v>1038</v>
      </c>
      <c r="F350" s="6" t="s">
        <v>1039</v>
      </c>
      <c r="G350" s="6" t="s">
        <v>36</v>
      </c>
      <c r="H350" s="167" t="s">
        <v>51</v>
      </c>
      <c r="I350" s="6" t="s">
        <v>52</v>
      </c>
      <c r="J350" s="6" t="s">
        <v>285</v>
      </c>
      <c r="K350" s="167"/>
      <c r="L350" s="313">
        <v>45534</v>
      </c>
      <c r="M350" s="7"/>
      <c r="N350" s="6" t="s">
        <v>40</v>
      </c>
      <c r="O350" s="250">
        <v>575</v>
      </c>
      <c r="P350" s="6" t="s">
        <v>80</v>
      </c>
      <c r="Q350" s="41">
        <f t="shared" si="13"/>
        <v>1.0454545454545454E-2</v>
      </c>
      <c r="R350" s="219"/>
      <c r="S350" s="178"/>
      <c r="T350" s="7">
        <v>45593</v>
      </c>
      <c r="U350" s="17" t="s">
        <v>43</v>
      </c>
      <c r="V350" s="7" t="s">
        <v>1028</v>
      </c>
      <c r="W350" s="10" t="s">
        <v>45</v>
      </c>
      <c r="X350" s="236">
        <f>185000-74000</f>
        <v>111000</v>
      </c>
      <c r="Y350" s="11" t="s">
        <v>341</v>
      </c>
      <c r="Z350" s="11"/>
      <c r="AA350" s="78"/>
      <c r="AB350" s="64">
        <v>45594</v>
      </c>
      <c r="AC350" s="64">
        <v>45591</v>
      </c>
      <c r="AD350" s="242"/>
      <c r="AE350" s="7">
        <v>45596</v>
      </c>
      <c r="AF350" s="15"/>
      <c r="AG350" s="15"/>
      <c r="AH350" s="15"/>
      <c r="AI350" s="15"/>
      <c r="AJ350" s="15"/>
      <c r="AK350" s="15"/>
      <c r="AL350" s="15"/>
      <c r="AM350" s="15"/>
      <c r="AN350" s="15"/>
      <c r="AO350" s="15"/>
      <c r="AP350" s="15"/>
      <c r="AQ350" s="15"/>
      <c r="AR350" s="15"/>
      <c r="AS350" s="15"/>
      <c r="AT350" s="15"/>
      <c r="AU350" s="15"/>
    </row>
    <row r="351" spans="1:48" s="30" customFormat="1" ht="18.75" hidden="1" thickBot="1" x14ac:dyDescent="0.3">
      <c r="A351" s="209" t="s">
        <v>104</v>
      </c>
      <c r="B351" s="6">
        <v>27021</v>
      </c>
      <c r="C351" s="168">
        <v>55000</v>
      </c>
      <c r="D351" s="167" t="s">
        <v>48</v>
      </c>
      <c r="E351" s="6" t="s">
        <v>1006</v>
      </c>
      <c r="F351" s="6" t="s">
        <v>1040</v>
      </c>
      <c r="G351" s="6" t="s">
        <v>108</v>
      </c>
      <c r="H351" s="6" t="s">
        <v>109</v>
      </c>
      <c r="I351" s="6" t="s">
        <v>52</v>
      </c>
      <c r="J351" s="6" t="s">
        <v>473</v>
      </c>
      <c r="K351" s="167"/>
      <c r="L351" s="313">
        <v>45521</v>
      </c>
      <c r="M351" s="7"/>
      <c r="N351" s="6" t="s">
        <v>40</v>
      </c>
      <c r="O351" s="13">
        <v>575</v>
      </c>
      <c r="P351" s="6" t="s">
        <v>80</v>
      </c>
      <c r="Q351" s="41">
        <f t="shared" si="13"/>
        <v>1.0454545454545454E-2</v>
      </c>
      <c r="R351" s="219"/>
      <c r="S351" s="178"/>
      <c r="T351" s="7">
        <v>45594</v>
      </c>
      <c r="U351" s="46" t="s">
        <v>43</v>
      </c>
      <c r="V351" s="7" t="s">
        <v>1028</v>
      </c>
      <c r="W351" s="10" t="s">
        <v>45</v>
      </c>
      <c r="X351" s="236">
        <v>44280</v>
      </c>
      <c r="Y351" s="11" t="s">
        <v>341</v>
      </c>
      <c r="Z351" s="11"/>
      <c r="AA351" s="78"/>
      <c r="AB351" s="64">
        <v>45594</v>
      </c>
      <c r="AC351" s="64">
        <v>45595</v>
      </c>
      <c r="AD351" s="242"/>
      <c r="AE351" s="7">
        <v>45596</v>
      </c>
      <c r="AF351" s="15"/>
      <c r="AG351" s="15"/>
      <c r="AH351" s="15"/>
      <c r="AI351" s="15"/>
      <c r="AJ351" s="15"/>
      <c r="AK351" s="15"/>
      <c r="AL351" s="15"/>
      <c r="AM351" s="15"/>
      <c r="AN351" s="15"/>
      <c r="AO351" s="15"/>
      <c r="AP351" s="15"/>
      <c r="AQ351" s="15"/>
      <c r="AR351" s="15"/>
      <c r="AS351" s="15"/>
      <c r="AT351" s="15"/>
      <c r="AU351" s="15"/>
    </row>
    <row r="352" spans="1:48" s="30" customFormat="1" ht="18" hidden="1" customHeight="1" x14ac:dyDescent="0.25">
      <c r="A352" s="109" t="s">
        <v>259</v>
      </c>
      <c r="B352" s="22">
        <v>24565</v>
      </c>
      <c r="C352" s="23">
        <v>40500</v>
      </c>
      <c r="D352" s="22" t="s">
        <v>249</v>
      </c>
      <c r="E352" s="22" t="s">
        <v>819</v>
      </c>
      <c r="F352" s="22"/>
      <c r="G352" s="22"/>
      <c r="H352" s="22" t="s">
        <v>37</v>
      </c>
      <c r="I352" s="22" t="s">
        <v>261</v>
      </c>
      <c r="J352" s="22" t="s">
        <v>53</v>
      </c>
      <c r="K352" s="22"/>
      <c r="L352" s="25">
        <v>45595</v>
      </c>
      <c r="M352" s="25"/>
      <c r="N352" s="22"/>
      <c r="O352" s="26"/>
      <c r="P352" s="22"/>
      <c r="Q352" s="259"/>
      <c r="R352" s="217"/>
      <c r="S352" s="27"/>
      <c r="T352" s="24"/>
      <c r="U352" s="28" t="s">
        <v>66</v>
      </c>
      <c r="V352" s="25" t="s">
        <v>1028</v>
      </c>
      <c r="W352" s="24" t="s">
        <v>45</v>
      </c>
      <c r="X352" s="29">
        <v>59919</v>
      </c>
      <c r="Y352" s="24" t="s">
        <v>215</v>
      </c>
      <c r="Z352" s="261"/>
      <c r="AA352" s="351"/>
      <c r="AB352" s="351"/>
      <c r="AC352" s="351"/>
      <c r="AD352" s="182"/>
      <c r="AE352" s="263" t="s">
        <v>378</v>
      </c>
      <c r="AF352" s="15"/>
      <c r="AG352" s="15"/>
      <c r="AH352" s="15"/>
      <c r="AI352" s="15"/>
      <c r="AJ352" s="15"/>
      <c r="AK352" s="15"/>
      <c r="AL352" s="15"/>
      <c r="AM352" s="15"/>
      <c r="AN352" s="15"/>
      <c r="AO352" s="15"/>
      <c r="AP352" s="15"/>
      <c r="AQ352" s="15"/>
      <c r="AR352" s="15"/>
      <c r="AS352" s="15"/>
      <c r="AT352" s="15"/>
      <c r="AU352" s="15"/>
    </row>
    <row r="353" spans="1:50" s="15" customFormat="1" ht="18.75" hidden="1" customHeight="1" thickBot="1" x14ac:dyDescent="0.3">
      <c r="A353" s="209" t="s">
        <v>549</v>
      </c>
      <c r="B353" s="167">
        <v>26792</v>
      </c>
      <c r="C353" s="168">
        <v>40000</v>
      </c>
      <c r="D353" s="6" t="s">
        <v>105</v>
      </c>
      <c r="E353" s="167" t="s">
        <v>1041</v>
      </c>
      <c r="F353" s="167" t="s">
        <v>1042</v>
      </c>
      <c r="G353" s="6" t="s">
        <v>36</v>
      </c>
      <c r="H353" s="169" t="s">
        <v>51</v>
      </c>
      <c r="I353" s="6" t="s">
        <v>52</v>
      </c>
      <c r="J353" s="169"/>
      <c r="K353" s="169"/>
      <c r="L353" s="313">
        <v>45527</v>
      </c>
      <c r="M353" s="64"/>
      <c r="N353" s="6" t="s">
        <v>40</v>
      </c>
      <c r="O353" s="250">
        <v>575</v>
      </c>
      <c r="P353" s="6" t="s">
        <v>80</v>
      </c>
      <c r="Q353" s="41">
        <f>+O353/C353</f>
        <v>1.4375000000000001E-2</v>
      </c>
      <c r="R353" s="65"/>
      <c r="S353" s="156"/>
      <c r="T353" s="7">
        <v>45593</v>
      </c>
      <c r="U353" s="17" t="s">
        <v>43</v>
      </c>
      <c r="V353" s="7" t="s">
        <v>1028</v>
      </c>
      <c r="W353" s="10" t="s">
        <v>45</v>
      </c>
      <c r="X353" s="236">
        <v>19950</v>
      </c>
      <c r="Y353" s="11" t="s">
        <v>341</v>
      </c>
      <c r="Z353" s="171"/>
      <c r="AA353" s="351"/>
      <c r="AB353" s="64">
        <v>45595</v>
      </c>
      <c r="AC353" s="64">
        <v>45591</v>
      </c>
      <c r="AD353" s="48"/>
      <c r="AE353" s="71">
        <v>45596</v>
      </c>
    </row>
    <row r="354" spans="1:50" s="15" customFormat="1" ht="18.75" hidden="1" thickBot="1" x14ac:dyDescent="0.3">
      <c r="A354" s="16" t="s">
        <v>1043</v>
      </c>
      <c r="B354" s="6">
        <v>27366</v>
      </c>
      <c r="C354" s="5">
        <v>48400</v>
      </c>
      <c r="D354" s="6" t="s">
        <v>33</v>
      </c>
      <c r="E354" s="6" t="s">
        <v>1044</v>
      </c>
      <c r="F354" s="6" t="s">
        <v>1045</v>
      </c>
      <c r="G354" s="159" t="s">
        <v>130</v>
      </c>
      <c r="H354" s="4" t="s">
        <v>37</v>
      </c>
      <c r="I354" s="4" t="s">
        <v>97</v>
      </c>
      <c r="J354" s="4" t="s">
        <v>98</v>
      </c>
      <c r="K354" s="169"/>
      <c r="L354" s="313">
        <v>45550</v>
      </c>
      <c r="M354" s="7" t="s">
        <v>861</v>
      </c>
      <c r="N354" s="73" t="s">
        <v>40</v>
      </c>
      <c r="O354" s="13">
        <f>3215+400</f>
        <v>3615</v>
      </c>
      <c r="P354" s="6" t="s">
        <v>41</v>
      </c>
      <c r="Q354" s="19">
        <f>+O354/C354</f>
        <v>7.4690082644628106E-2</v>
      </c>
      <c r="R354" s="219"/>
      <c r="S354" s="41"/>
      <c r="T354" s="71">
        <v>45594</v>
      </c>
      <c r="U354" s="67" t="s">
        <v>43</v>
      </c>
      <c r="V354" s="7" t="s">
        <v>1028</v>
      </c>
      <c r="W354" s="10" t="s">
        <v>45</v>
      </c>
      <c r="X354" s="236">
        <f>46200-9240</f>
        <v>36960</v>
      </c>
      <c r="Y354" s="11" t="s">
        <v>341</v>
      </c>
      <c r="Z354" s="171"/>
      <c r="AA354" s="351"/>
      <c r="AB354" s="64">
        <v>45595</v>
      </c>
      <c r="AC354" s="64">
        <v>45594</v>
      </c>
      <c r="AD354" s="38"/>
      <c r="AE354" s="71">
        <v>45596</v>
      </c>
    </row>
    <row r="355" spans="1:50" s="30" customFormat="1" ht="18" hidden="1" customHeight="1" x14ac:dyDescent="0.25">
      <c r="A355" s="109" t="s">
        <v>1046</v>
      </c>
      <c r="B355" s="22">
        <v>27708</v>
      </c>
      <c r="C355" s="246">
        <v>35715</v>
      </c>
      <c r="D355" s="256" t="s">
        <v>249</v>
      </c>
      <c r="E355" s="22" t="s">
        <v>1047</v>
      </c>
      <c r="F355" s="22"/>
      <c r="G355" s="22"/>
      <c r="H355" s="22" t="s">
        <v>164</v>
      </c>
      <c r="I355" s="22" t="s">
        <v>256</v>
      </c>
      <c r="J355" s="22" t="s">
        <v>62</v>
      </c>
      <c r="K355" s="22"/>
      <c r="L355" s="25">
        <v>45594</v>
      </c>
      <c r="M355" s="25"/>
      <c r="N355" s="22"/>
      <c r="O355" s="247"/>
      <c r="P355" s="22"/>
      <c r="Q355" s="259"/>
      <c r="R355" s="217"/>
      <c r="S355" s="27"/>
      <c r="T355" s="24"/>
      <c r="U355" s="245" t="s">
        <v>66</v>
      </c>
      <c r="V355" s="25" t="s">
        <v>1028</v>
      </c>
      <c r="W355" s="24" t="s">
        <v>45</v>
      </c>
      <c r="X355" s="248">
        <v>64690</v>
      </c>
      <c r="Y355" s="24" t="s">
        <v>215</v>
      </c>
      <c r="Z355" s="24"/>
      <c r="AA355" s="78"/>
      <c r="AB355" s="78"/>
      <c r="AC355" s="64">
        <v>45595</v>
      </c>
      <c r="AD355" s="38"/>
      <c r="AE355" s="71">
        <v>45596</v>
      </c>
      <c r="AF355" s="15"/>
      <c r="AG355" s="15"/>
      <c r="AH355" s="15"/>
      <c r="AI355" s="15"/>
      <c r="AJ355" s="15"/>
      <c r="AK355" s="15"/>
      <c r="AL355" s="15"/>
      <c r="AM355" s="15"/>
      <c r="AN355" s="15"/>
      <c r="AO355" s="15"/>
      <c r="AP355" s="15"/>
      <c r="AQ355" s="15"/>
      <c r="AR355" s="15"/>
      <c r="AS355" s="15"/>
      <c r="AT355" s="15"/>
      <c r="AU355" s="15"/>
      <c r="AV355" s="15"/>
      <c r="AW355" s="15"/>
    </row>
    <row r="356" spans="1:50" s="15" customFormat="1" ht="18.75" hidden="1" customHeight="1" thickBot="1" x14ac:dyDescent="0.3">
      <c r="A356" s="209" t="s">
        <v>978</v>
      </c>
      <c r="B356" s="167">
        <v>27125</v>
      </c>
      <c r="C356" s="168">
        <v>55000</v>
      </c>
      <c r="D356" s="167" t="s">
        <v>48</v>
      </c>
      <c r="E356" s="167" t="s">
        <v>1048</v>
      </c>
      <c r="F356" s="167" t="s">
        <v>1049</v>
      </c>
      <c r="G356" s="6" t="s">
        <v>36</v>
      </c>
      <c r="H356" s="169" t="s">
        <v>37</v>
      </c>
      <c r="I356" s="169" t="s">
        <v>281</v>
      </c>
      <c r="J356" s="169" t="s">
        <v>120</v>
      </c>
      <c r="K356" s="169"/>
      <c r="L356" s="313">
        <v>45530</v>
      </c>
      <c r="M356" s="64" t="s">
        <v>39</v>
      </c>
      <c r="N356" s="73" t="s">
        <v>40</v>
      </c>
      <c r="O356" s="177">
        <f>9385+400</f>
        <v>9785</v>
      </c>
      <c r="P356" s="6" t="s">
        <v>41</v>
      </c>
      <c r="Q356" s="19">
        <f t="shared" ref="Q356:Q361" si="14">+O356/C356</f>
        <v>0.17790909090909091</v>
      </c>
      <c r="R356" s="65">
        <v>45580</v>
      </c>
      <c r="S356" s="41" t="s">
        <v>65</v>
      </c>
      <c r="T356" s="7">
        <v>45590</v>
      </c>
      <c r="U356" s="135" t="s">
        <v>76</v>
      </c>
      <c r="V356" s="64" t="s">
        <v>1028</v>
      </c>
      <c r="W356" s="10" t="s">
        <v>45</v>
      </c>
      <c r="X356" s="236">
        <v>174350</v>
      </c>
      <c r="Y356" s="171" t="s">
        <v>341</v>
      </c>
      <c r="Z356" s="171"/>
      <c r="AA356" s="351"/>
      <c r="AB356" s="64">
        <v>45596</v>
      </c>
      <c r="AC356" s="64">
        <v>45590</v>
      </c>
      <c r="AD356" s="38"/>
      <c r="AE356" s="263">
        <v>45587</v>
      </c>
    </row>
    <row r="357" spans="1:50" s="30" customFormat="1" ht="18" hidden="1" customHeight="1" x14ac:dyDescent="0.25">
      <c r="A357" s="109" t="s">
        <v>113</v>
      </c>
      <c r="B357" s="22">
        <v>27514</v>
      </c>
      <c r="C357" s="23">
        <v>39600</v>
      </c>
      <c r="D357" s="22" t="s">
        <v>249</v>
      </c>
      <c r="E357" s="22" t="s">
        <v>1050</v>
      </c>
      <c r="F357" s="22"/>
      <c r="G357" s="22"/>
      <c r="H357" s="22" t="s">
        <v>37</v>
      </c>
      <c r="I357" s="22" t="s">
        <v>115</v>
      </c>
      <c r="J357" s="22" t="s">
        <v>62</v>
      </c>
      <c r="K357" s="22"/>
      <c r="L357" s="25">
        <v>45593</v>
      </c>
      <c r="M357" s="25"/>
      <c r="N357" s="22" t="s">
        <v>441</v>
      </c>
      <c r="O357" s="26">
        <v>6200</v>
      </c>
      <c r="P357" s="22" t="s">
        <v>80</v>
      </c>
      <c r="Q357" s="259">
        <f t="shared" si="14"/>
        <v>0.15656565656565657</v>
      </c>
      <c r="R357" s="244"/>
      <c r="S357" s="315"/>
      <c r="T357" s="55"/>
      <c r="U357" s="245" t="s">
        <v>66</v>
      </c>
      <c r="V357" s="25" t="s">
        <v>1051</v>
      </c>
      <c r="W357" s="24" t="s">
        <v>45</v>
      </c>
      <c r="X357" s="29">
        <v>90900</v>
      </c>
      <c r="Y357" s="24" t="s">
        <v>215</v>
      </c>
      <c r="Z357" s="24"/>
      <c r="AA357" s="78"/>
      <c r="AB357" s="78"/>
      <c r="AC357" s="7">
        <v>45599</v>
      </c>
      <c r="AD357" s="38"/>
      <c r="AE357" s="71">
        <v>45600</v>
      </c>
      <c r="AF357" s="15"/>
      <c r="AG357" s="15"/>
      <c r="AH357" s="15"/>
      <c r="AI357" s="15"/>
      <c r="AJ357" s="15"/>
      <c r="AK357" s="15"/>
      <c r="AL357" s="15"/>
      <c r="AM357" s="15"/>
      <c r="AN357" s="15"/>
      <c r="AO357" s="15"/>
      <c r="AP357" s="15"/>
      <c r="AQ357" s="15"/>
      <c r="AR357" s="15"/>
      <c r="AS357" s="15"/>
      <c r="AT357" s="15"/>
      <c r="AU357" s="15"/>
      <c r="AV357" s="15"/>
      <c r="AW357" s="15"/>
      <c r="AX357" s="15"/>
    </row>
    <row r="358" spans="1:50" s="30" customFormat="1" ht="18" hidden="1" customHeight="1" x14ac:dyDescent="0.25">
      <c r="A358" s="109" t="s">
        <v>251</v>
      </c>
      <c r="B358" s="22">
        <v>27848</v>
      </c>
      <c r="C358" s="23">
        <v>40500</v>
      </c>
      <c r="D358" s="22" t="s">
        <v>249</v>
      </c>
      <c r="E358" s="22" t="s">
        <v>1052</v>
      </c>
      <c r="F358" s="22"/>
      <c r="G358" s="22"/>
      <c r="H358" s="22" t="s">
        <v>37</v>
      </c>
      <c r="I358" s="22" t="s">
        <v>253</v>
      </c>
      <c r="J358" s="22" t="s">
        <v>62</v>
      </c>
      <c r="K358" s="22"/>
      <c r="L358" s="25">
        <v>45595</v>
      </c>
      <c r="M358" s="25"/>
      <c r="N358" s="22" t="s">
        <v>441</v>
      </c>
      <c r="O358" s="26">
        <v>6100</v>
      </c>
      <c r="P358" s="22" t="s">
        <v>80</v>
      </c>
      <c r="Q358" s="259">
        <f t="shared" si="14"/>
        <v>0.1506172839506173</v>
      </c>
      <c r="R358" s="217"/>
      <c r="S358" s="27"/>
      <c r="T358" s="24"/>
      <c r="U358" s="28" t="s">
        <v>66</v>
      </c>
      <c r="V358" s="25" t="s">
        <v>1051</v>
      </c>
      <c r="W358" s="24" t="s">
        <v>45</v>
      </c>
      <c r="X358" s="29">
        <v>109290</v>
      </c>
      <c r="Y358" s="24" t="s">
        <v>215</v>
      </c>
      <c r="Z358" s="24"/>
      <c r="AA358" s="78"/>
      <c r="AB358" s="78"/>
      <c r="AC358" s="7">
        <v>45598</v>
      </c>
      <c r="AD358" s="316" t="s">
        <v>1053</v>
      </c>
      <c r="AE358" s="71">
        <v>45600</v>
      </c>
      <c r="AF358" s="15"/>
      <c r="AG358" s="15"/>
      <c r="AH358" s="15"/>
      <c r="AI358" s="15"/>
      <c r="AJ358" s="15"/>
      <c r="AK358" s="15"/>
      <c r="AL358" s="15"/>
      <c r="AM358" s="15"/>
      <c r="AN358" s="15"/>
      <c r="AO358" s="15"/>
      <c r="AP358" s="15"/>
      <c r="AQ358" s="15"/>
      <c r="AR358" s="15"/>
      <c r="AS358" s="15"/>
      <c r="AT358" s="15"/>
      <c r="AU358" s="15"/>
      <c r="AV358" s="15"/>
      <c r="AW358" s="15"/>
      <c r="AX358" s="15"/>
    </row>
    <row r="359" spans="1:50" s="15" customFormat="1" ht="18.75" hidden="1" customHeight="1" thickBot="1" x14ac:dyDescent="0.3">
      <c r="A359" s="209" t="s">
        <v>615</v>
      </c>
      <c r="B359" s="167">
        <v>25530</v>
      </c>
      <c r="C359" s="168">
        <v>44000</v>
      </c>
      <c r="D359" s="6" t="s">
        <v>105</v>
      </c>
      <c r="E359" s="167" t="s">
        <v>616</v>
      </c>
      <c r="F359" s="167" t="s">
        <v>1054</v>
      </c>
      <c r="G359" s="6" t="s">
        <v>108</v>
      </c>
      <c r="H359" s="169" t="s">
        <v>51</v>
      </c>
      <c r="I359" s="6" t="s">
        <v>52</v>
      </c>
      <c r="J359" s="169"/>
      <c r="K359" s="169"/>
      <c r="L359" s="313">
        <v>45563</v>
      </c>
      <c r="M359" s="64"/>
      <c r="N359" s="6" t="s">
        <v>40</v>
      </c>
      <c r="O359" s="250">
        <v>575</v>
      </c>
      <c r="P359" s="6" t="s">
        <v>80</v>
      </c>
      <c r="Q359" s="41">
        <f t="shared" si="14"/>
        <v>1.3068181818181817E-2</v>
      </c>
      <c r="R359" s="65">
        <v>45593</v>
      </c>
      <c r="S359" s="156" t="s">
        <v>121</v>
      </c>
      <c r="T359" s="7">
        <v>45601</v>
      </c>
      <c r="U359" s="17" t="s">
        <v>76</v>
      </c>
      <c r="V359" s="7" t="s">
        <v>1051</v>
      </c>
      <c r="W359" s="10" t="s">
        <v>45</v>
      </c>
      <c r="X359" s="236">
        <v>42800</v>
      </c>
      <c r="Y359" s="11" t="s">
        <v>341</v>
      </c>
      <c r="Z359" s="171"/>
      <c r="AA359" s="351"/>
      <c r="AB359" s="64">
        <v>45589</v>
      </c>
      <c r="AC359" s="64">
        <v>45601</v>
      </c>
      <c r="AD359" s="48"/>
      <c r="AE359" s="71">
        <v>45619</v>
      </c>
    </row>
    <row r="360" spans="1:50" s="2" customFormat="1" ht="18" hidden="1" x14ac:dyDescent="0.25">
      <c r="A360" s="86" t="s">
        <v>259</v>
      </c>
      <c r="B360" s="87">
        <v>24558</v>
      </c>
      <c r="C360" s="88">
        <v>40500</v>
      </c>
      <c r="D360" s="87" t="s">
        <v>249</v>
      </c>
      <c r="E360" s="89" t="s">
        <v>260</v>
      </c>
      <c r="F360" s="87"/>
      <c r="G360" s="87"/>
      <c r="H360" s="90" t="s">
        <v>37</v>
      </c>
      <c r="I360" s="90" t="s">
        <v>261</v>
      </c>
      <c r="J360" s="90" t="s">
        <v>53</v>
      </c>
      <c r="K360" s="90"/>
      <c r="L360" s="91">
        <v>45604</v>
      </c>
      <c r="M360" s="91"/>
      <c r="N360" s="87" t="s">
        <v>45</v>
      </c>
      <c r="O360" s="92"/>
      <c r="P360" s="87"/>
      <c r="Q360" s="93">
        <f t="shared" si="14"/>
        <v>0</v>
      </c>
      <c r="R360" s="91"/>
      <c r="S360" s="93"/>
      <c r="T360" s="91"/>
      <c r="U360" s="94" t="s">
        <v>66</v>
      </c>
      <c r="V360" s="91" t="s">
        <v>1051</v>
      </c>
      <c r="W360" s="90" t="s">
        <v>45</v>
      </c>
      <c r="X360" s="95">
        <v>55485</v>
      </c>
      <c r="Y360" s="90" t="s">
        <v>215</v>
      </c>
      <c r="Z360" s="90"/>
      <c r="AA360" s="78"/>
      <c r="AB360" s="78"/>
      <c r="AC360" s="78"/>
      <c r="AD360" s="96"/>
      <c r="AE360" s="263" t="s">
        <v>378</v>
      </c>
    </row>
    <row r="361" spans="1:50" s="15" customFormat="1" ht="18" hidden="1" customHeight="1" thickBot="1" x14ac:dyDescent="0.3">
      <c r="A361" s="209" t="s">
        <v>1055</v>
      </c>
      <c r="B361" s="6">
        <v>27291</v>
      </c>
      <c r="C361" s="44">
        <v>55000</v>
      </c>
      <c r="D361" s="6" t="s">
        <v>33</v>
      </c>
      <c r="E361" s="6" t="s">
        <v>227</v>
      </c>
      <c r="F361" s="6" t="s">
        <v>1056</v>
      </c>
      <c r="G361" s="6" t="s">
        <v>345</v>
      </c>
      <c r="H361" s="6" t="s">
        <v>51</v>
      </c>
      <c r="I361" s="6" t="s">
        <v>281</v>
      </c>
      <c r="J361" s="6" t="s">
        <v>120</v>
      </c>
      <c r="K361" s="167"/>
      <c r="L361" s="313">
        <v>45555</v>
      </c>
      <c r="M361" s="7"/>
      <c r="N361" s="73" t="s">
        <v>40</v>
      </c>
      <c r="O361" s="13">
        <v>575</v>
      </c>
      <c r="P361" s="6" t="s">
        <v>80</v>
      </c>
      <c r="Q361" s="41">
        <f t="shared" si="14"/>
        <v>1.0454545454545454E-2</v>
      </c>
      <c r="R361" s="7">
        <v>45582</v>
      </c>
      <c r="S361" s="41" t="s">
        <v>65</v>
      </c>
      <c r="T361" s="7">
        <v>45599</v>
      </c>
      <c r="U361" s="17" t="s">
        <v>76</v>
      </c>
      <c r="V361" s="7" t="s">
        <v>1057</v>
      </c>
      <c r="W361" s="10" t="s">
        <v>334</v>
      </c>
      <c r="X361" s="224">
        <f>174900-39160</f>
        <v>135740</v>
      </c>
      <c r="Y361" s="11" t="s">
        <v>341</v>
      </c>
      <c r="Z361" s="11"/>
      <c r="AA361" s="78"/>
      <c r="AB361" s="71">
        <v>45604</v>
      </c>
      <c r="AC361" s="7">
        <v>45599</v>
      </c>
      <c r="AD361" s="38"/>
      <c r="AE361" s="71">
        <v>45619</v>
      </c>
    </row>
    <row r="362" spans="1:50" s="30" customFormat="1" ht="18" hidden="1" customHeight="1" x14ac:dyDescent="0.25">
      <c r="A362" s="21" t="s">
        <v>392</v>
      </c>
      <c r="B362" s="22">
        <v>27552</v>
      </c>
      <c r="C362" s="23">
        <v>44000</v>
      </c>
      <c r="D362" s="22" t="s">
        <v>249</v>
      </c>
      <c r="E362" s="22" t="s">
        <v>789</v>
      </c>
      <c r="F362" s="22"/>
      <c r="G362" s="22"/>
      <c r="H362" s="22" t="s">
        <v>37</v>
      </c>
      <c r="I362" s="22" t="s">
        <v>394</v>
      </c>
      <c r="J362" s="22" t="s">
        <v>53</v>
      </c>
      <c r="K362" s="22"/>
      <c r="L362" s="255">
        <v>45607</v>
      </c>
      <c r="M362" s="25"/>
      <c r="N362" s="22"/>
      <c r="O362" s="26"/>
      <c r="P362" s="22"/>
      <c r="Q362" s="259"/>
      <c r="R362" s="217"/>
      <c r="S362" s="27"/>
      <c r="T362" s="24"/>
      <c r="U362" s="28" t="s">
        <v>66</v>
      </c>
      <c r="V362" s="25" t="s">
        <v>1057</v>
      </c>
      <c r="W362" s="24" t="s">
        <v>334</v>
      </c>
      <c r="X362" s="29">
        <v>114700</v>
      </c>
      <c r="Y362" s="24" t="s">
        <v>215</v>
      </c>
      <c r="Z362" s="24"/>
      <c r="AA362" s="78"/>
      <c r="AB362" s="78"/>
      <c r="AC362" s="78"/>
      <c r="AD362" s="6"/>
      <c r="AE362" s="71" t="s">
        <v>378</v>
      </c>
      <c r="AF362" s="15"/>
      <c r="AG362" s="15"/>
      <c r="AH362" s="15"/>
      <c r="AI362" s="15"/>
      <c r="AJ362" s="15"/>
      <c r="AK362" s="15"/>
      <c r="AL362" s="15"/>
      <c r="AM362" s="15"/>
      <c r="AN362" s="15"/>
      <c r="AO362" s="15"/>
      <c r="AP362" s="15"/>
      <c r="AQ362" s="15"/>
      <c r="AR362" s="15"/>
      <c r="AS362" s="15"/>
      <c r="AT362" s="15"/>
      <c r="AU362" s="15"/>
      <c r="AV362" s="15"/>
      <c r="AW362" s="15"/>
    </row>
    <row r="363" spans="1:50" s="30" customFormat="1" ht="18" hidden="1" customHeight="1" x14ac:dyDescent="0.25">
      <c r="A363" s="109" t="s">
        <v>251</v>
      </c>
      <c r="B363" s="22">
        <v>26650</v>
      </c>
      <c r="C363" s="23">
        <v>40500</v>
      </c>
      <c r="D363" s="22" t="s">
        <v>249</v>
      </c>
      <c r="E363" s="22" t="s">
        <v>421</v>
      </c>
      <c r="F363" s="22"/>
      <c r="G363" s="22"/>
      <c r="H363" s="22" t="s">
        <v>37</v>
      </c>
      <c r="I363" s="22" t="s">
        <v>253</v>
      </c>
      <c r="J363" s="22" t="s">
        <v>62</v>
      </c>
      <c r="K363" s="22"/>
      <c r="L363" s="25">
        <v>45602</v>
      </c>
      <c r="M363" s="25"/>
      <c r="N363" s="22" t="s">
        <v>441</v>
      </c>
      <c r="O363" s="26">
        <v>6500</v>
      </c>
      <c r="P363" s="22" t="s">
        <v>80</v>
      </c>
      <c r="Q363" s="259">
        <f>+O363/C363</f>
        <v>0.16049382716049382</v>
      </c>
      <c r="R363" s="217"/>
      <c r="S363" s="27"/>
      <c r="T363" s="24"/>
      <c r="U363" s="28" t="s">
        <v>66</v>
      </c>
      <c r="V363" s="25" t="s">
        <v>1057</v>
      </c>
      <c r="W363" s="24" t="s">
        <v>358</v>
      </c>
      <c r="X363" s="29">
        <v>91125</v>
      </c>
      <c r="Y363" s="24" t="s">
        <v>215</v>
      </c>
      <c r="Z363" s="261"/>
      <c r="AA363" s="351"/>
      <c r="AB363" s="351"/>
      <c r="AC363" s="7">
        <v>45605</v>
      </c>
      <c r="AD363" s="316" t="s">
        <v>928</v>
      </c>
      <c r="AE363" s="71">
        <v>45602</v>
      </c>
      <c r="AF363" s="15"/>
      <c r="AG363" s="15"/>
      <c r="AH363" s="15"/>
      <c r="AI363" s="15"/>
      <c r="AJ363" s="15"/>
      <c r="AK363" s="15"/>
      <c r="AL363" s="15"/>
      <c r="AM363" s="15"/>
      <c r="AN363" s="15"/>
      <c r="AO363" s="15"/>
      <c r="AP363" s="15"/>
      <c r="AQ363" s="15"/>
      <c r="AR363" s="15"/>
      <c r="AS363" s="15"/>
      <c r="AT363" s="15"/>
      <c r="AU363" s="15"/>
      <c r="AV363" s="15"/>
      <c r="AW363" s="15"/>
      <c r="AX363" s="15"/>
    </row>
    <row r="364" spans="1:50" s="30" customFormat="1" ht="18" hidden="1" customHeight="1" x14ac:dyDescent="0.25">
      <c r="A364" s="109" t="s">
        <v>1015</v>
      </c>
      <c r="B364" s="22">
        <v>27796</v>
      </c>
      <c r="C364" s="23">
        <v>42000</v>
      </c>
      <c r="D364" s="22" t="s">
        <v>249</v>
      </c>
      <c r="E364" s="22" t="s">
        <v>1016</v>
      </c>
      <c r="F364" s="22"/>
      <c r="G364" s="22"/>
      <c r="H364" s="22" t="s">
        <v>37</v>
      </c>
      <c r="I364" s="22" t="s">
        <v>931</v>
      </c>
      <c r="J364" s="22" t="s">
        <v>62</v>
      </c>
      <c r="K364" s="22"/>
      <c r="L364" s="25">
        <v>45603</v>
      </c>
      <c r="M364" s="25"/>
      <c r="N364" s="22" t="s">
        <v>441</v>
      </c>
      <c r="O364" s="26">
        <v>6550</v>
      </c>
      <c r="P364" s="22" t="s">
        <v>80</v>
      </c>
      <c r="Q364" s="259">
        <f>+O364/C364</f>
        <v>0.15595238095238095</v>
      </c>
      <c r="R364" s="217"/>
      <c r="S364" s="27"/>
      <c r="T364" s="24"/>
      <c r="U364" s="28" t="s">
        <v>66</v>
      </c>
      <c r="V364" s="25" t="s">
        <v>1057</v>
      </c>
      <c r="W364" s="24" t="s">
        <v>45</v>
      </c>
      <c r="X364" s="29">
        <v>115080</v>
      </c>
      <c r="Y364" s="24" t="s">
        <v>215</v>
      </c>
      <c r="Z364" s="261"/>
      <c r="AA364" s="351"/>
      <c r="AB364" s="351"/>
      <c r="AC364" s="7">
        <v>45606</v>
      </c>
      <c r="AD364" s="6"/>
      <c r="AE364" s="71">
        <v>45607</v>
      </c>
      <c r="AF364" s="15"/>
      <c r="AG364" s="15"/>
      <c r="AH364" s="15"/>
      <c r="AI364" s="15"/>
      <c r="AJ364" s="15"/>
      <c r="AK364" s="15"/>
      <c r="AL364" s="15"/>
      <c r="AM364" s="15"/>
      <c r="AN364" s="15"/>
      <c r="AO364" s="15"/>
      <c r="AP364" s="15"/>
      <c r="AQ364" s="15"/>
      <c r="AR364" s="15"/>
      <c r="AS364" s="15"/>
      <c r="AT364" s="15"/>
      <c r="AU364" s="15"/>
      <c r="AV364" s="15"/>
      <c r="AW364" s="15"/>
      <c r="AX364" s="15"/>
    </row>
    <row r="365" spans="1:50" s="30" customFormat="1" ht="18" hidden="1" customHeight="1" x14ac:dyDescent="0.25">
      <c r="A365" s="210" t="s">
        <v>289</v>
      </c>
      <c r="B365" s="31">
        <v>26259</v>
      </c>
      <c r="C365" s="32">
        <v>44000</v>
      </c>
      <c r="D365" s="31" t="s">
        <v>105</v>
      </c>
      <c r="E365" s="31" t="s">
        <v>290</v>
      </c>
      <c r="F365" s="31" t="s">
        <v>1058</v>
      </c>
      <c r="G365" s="31" t="s">
        <v>108</v>
      </c>
      <c r="H365" s="31" t="s">
        <v>37</v>
      </c>
      <c r="I365" s="31" t="s">
        <v>350</v>
      </c>
      <c r="J365" s="31" t="s">
        <v>292</v>
      </c>
      <c r="K365" s="31"/>
      <c r="L365" s="102">
        <v>45579</v>
      </c>
      <c r="M365" s="34" t="s">
        <v>861</v>
      </c>
      <c r="N365" s="31"/>
      <c r="O365" s="35">
        <v>2565</v>
      </c>
      <c r="P365" s="31" t="s">
        <v>41</v>
      </c>
      <c r="Q365" s="258"/>
      <c r="R365" s="34">
        <v>45598</v>
      </c>
      <c r="S365" s="258" t="s">
        <v>1059</v>
      </c>
      <c r="T365" s="34">
        <v>45609</v>
      </c>
      <c r="U365" s="100" t="s">
        <v>1060</v>
      </c>
      <c r="V365" s="34" t="s">
        <v>1057</v>
      </c>
      <c r="W365" s="33" t="s">
        <v>1061</v>
      </c>
      <c r="X365" s="62">
        <v>47736</v>
      </c>
      <c r="Y365" s="33" t="s">
        <v>341</v>
      </c>
      <c r="Z365" s="33"/>
      <c r="AA365" s="78"/>
      <c r="AB365" s="7">
        <v>45608</v>
      </c>
      <c r="AC365" s="7">
        <v>45610</v>
      </c>
      <c r="AD365" s="38"/>
      <c r="AE365" s="71">
        <v>45607</v>
      </c>
      <c r="AF365" s="15"/>
      <c r="AG365" s="15"/>
      <c r="AH365" s="15"/>
      <c r="AI365" s="15"/>
      <c r="AJ365" s="15"/>
      <c r="AK365" s="15"/>
      <c r="AL365" s="15"/>
      <c r="AM365" s="15"/>
      <c r="AN365" s="15"/>
      <c r="AO365" s="15"/>
      <c r="AP365" s="15"/>
      <c r="AQ365" s="15"/>
      <c r="AR365" s="15"/>
      <c r="AS365" s="15"/>
      <c r="AT365" s="15"/>
      <c r="AU365" s="15"/>
      <c r="AV365" s="15"/>
      <c r="AW365" s="15"/>
      <c r="AX365" s="15"/>
    </row>
    <row r="366" spans="1:50" s="30" customFormat="1" ht="18" hidden="1" customHeight="1" x14ac:dyDescent="0.25">
      <c r="A366" s="109" t="s">
        <v>1062</v>
      </c>
      <c r="B366" s="22">
        <v>26639</v>
      </c>
      <c r="C366" s="23">
        <v>40000</v>
      </c>
      <c r="D366" s="256" t="s">
        <v>249</v>
      </c>
      <c r="E366" s="22" t="s">
        <v>782</v>
      </c>
      <c r="F366" s="22"/>
      <c r="G366" s="22"/>
      <c r="H366" s="22" t="s">
        <v>37</v>
      </c>
      <c r="I366" s="22" t="s">
        <v>783</v>
      </c>
      <c r="J366" s="22" t="s">
        <v>62</v>
      </c>
      <c r="K366" s="22"/>
      <c r="L366" s="25">
        <v>45604</v>
      </c>
      <c r="M366" s="25"/>
      <c r="N366" s="22" t="s">
        <v>441</v>
      </c>
      <c r="O366" s="26">
        <v>6800</v>
      </c>
      <c r="P366" s="22" t="s">
        <v>80</v>
      </c>
      <c r="Q366" s="259">
        <f>+O366/C366</f>
        <v>0.17</v>
      </c>
      <c r="R366" s="217"/>
      <c r="S366" s="27"/>
      <c r="T366" s="24"/>
      <c r="U366" s="28" t="s">
        <v>66</v>
      </c>
      <c r="V366" s="25" t="s">
        <v>1057</v>
      </c>
      <c r="W366" s="24" t="s">
        <v>45</v>
      </c>
      <c r="X366" s="29">
        <v>94000</v>
      </c>
      <c r="Y366" s="24" t="s">
        <v>215</v>
      </c>
      <c r="Z366" s="261"/>
      <c r="AA366" s="351"/>
      <c r="AB366" s="351"/>
      <c r="AC366" s="7">
        <v>45610</v>
      </c>
      <c r="AD366" s="316"/>
      <c r="AE366" s="71">
        <v>45611</v>
      </c>
      <c r="AF366" s="15"/>
      <c r="AG366" s="15"/>
      <c r="AH366" s="15"/>
      <c r="AI366" s="15"/>
      <c r="AJ366" s="15"/>
      <c r="AK366" s="15"/>
      <c r="AL366" s="15"/>
      <c r="AM366" s="15"/>
      <c r="AN366" s="15"/>
      <c r="AO366" s="15"/>
      <c r="AP366" s="15"/>
      <c r="AQ366" s="15"/>
      <c r="AR366" s="15"/>
      <c r="AS366" s="15"/>
      <c r="AT366" s="15"/>
      <c r="AU366" s="15"/>
      <c r="AV366" s="15"/>
      <c r="AW366" s="15"/>
      <c r="AX366" s="15"/>
    </row>
    <row r="367" spans="1:50" s="30" customFormat="1" ht="18" hidden="1" customHeight="1" x14ac:dyDescent="0.25">
      <c r="A367" s="109" t="s">
        <v>251</v>
      </c>
      <c r="B367" s="22">
        <v>26655</v>
      </c>
      <c r="C367" s="23">
        <v>40500</v>
      </c>
      <c r="D367" s="22" t="s">
        <v>249</v>
      </c>
      <c r="E367" s="22" t="s">
        <v>1063</v>
      </c>
      <c r="F367" s="22"/>
      <c r="G367" s="22"/>
      <c r="H367" s="22" t="s">
        <v>37</v>
      </c>
      <c r="I367" s="22" t="s">
        <v>253</v>
      </c>
      <c r="J367" s="22" t="s">
        <v>62</v>
      </c>
      <c r="K367" s="22"/>
      <c r="L367" s="25">
        <v>45607</v>
      </c>
      <c r="M367" s="25"/>
      <c r="N367" s="22" t="s">
        <v>441</v>
      </c>
      <c r="O367" s="26">
        <v>6200</v>
      </c>
      <c r="P367" s="22" t="s">
        <v>80</v>
      </c>
      <c r="Q367" s="259">
        <f>+O367/C367</f>
        <v>0.15308641975308643</v>
      </c>
      <c r="R367" s="217"/>
      <c r="S367" s="27"/>
      <c r="T367" s="24"/>
      <c r="U367" s="28" t="s">
        <v>66</v>
      </c>
      <c r="V367" s="25" t="s">
        <v>1057</v>
      </c>
      <c r="W367" s="24" t="s">
        <v>45</v>
      </c>
      <c r="X367" s="29">
        <v>96060</v>
      </c>
      <c r="Y367" s="24" t="s">
        <v>215</v>
      </c>
      <c r="Z367" s="24"/>
      <c r="AA367" s="78"/>
      <c r="AB367" s="351"/>
      <c r="AC367" s="7">
        <v>45609</v>
      </c>
      <c r="AD367" s="316" t="s">
        <v>928</v>
      </c>
      <c r="AE367" s="71">
        <v>45610</v>
      </c>
      <c r="AF367" s="15"/>
      <c r="AG367" s="15"/>
      <c r="AH367" s="15"/>
      <c r="AI367" s="15"/>
      <c r="AJ367" s="15"/>
      <c r="AK367" s="15"/>
      <c r="AL367" s="15"/>
      <c r="AM367" s="15"/>
      <c r="AN367" s="15"/>
      <c r="AO367" s="15"/>
      <c r="AP367" s="15"/>
      <c r="AQ367" s="15"/>
      <c r="AR367" s="15"/>
      <c r="AS367" s="15"/>
      <c r="AT367" s="15"/>
      <c r="AU367" s="15"/>
      <c r="AV367" s="15"/>
      <c r="AW367" s="15"/>
      <c r="AX367" s="15"/>
    </row>
    <row r="368" spans="1:50" s="30" customFormat="1" ht="18" hidden="1" customHeight="1" x14ac:dyDescent="0.25">
      <c r="A368" s="109" t="s">
        <v>718</v>
      </c>
      <c r="B368" s="22">
        <v>26911</v>
      </c>
      <c r="C368" s="246">
        <v>40000</v>
      </c>
      <c r="D368" s="256" t="s">
        <v>249</v>
      </c>
      <c r="E368" s="22" t="s">
        <v>865</v>
      </c>
      <c r="F368" s="22"/>
      <c r="G368" s="22"/>
      <c r="H368" s="22" t="s">
        <v>37</v>
      </c>
      <c r="I368" s="22" t="s">
        <v>720</v>
      </c>
      <c r="J368" s="22" t="s">
        <v>62</v>
      </c>
      <c r="K368" s="22"/>
      <c r="L368" s="25">
        <v>45604</v>
      </c>
      <c r="M368" s="25"/>
      <c r="N368" s="22" t="s">
        <v>441</v>
      </c>
      <c r="O368" s="26">
        <v>6550</v>
      </c>
      <c r="P368" s="22" t="s">
        <v>80</v>
      </c>
      <c r="Q368" s="259">
        <f>+O368/C368</f>
        <v>0.16375000000000001</v>
      </c>
      <c r="R368" s="217"/>
      <c r="S368" s="27"/>
      <c r="T368" s="24"/>
      <c r="U368" s="245" t="s">
        <v>66</v>
      </c>
      <c r="V368" s="25" t="s">
        <v>1064</v>
      </c>
      <c r="W368" s="24" t="s">
        <v>45</v>
      </c>
      <c r="X368" s="248">
        <v>90000</v>
      </c>
      <c r="Y368" s="24" t="s">
        <v>215</v>
      </c>
      <c r="Z368" s="24"/>
      <c r="AA368" s="78"/>
      <c r="AB368" s="351"/>
      <c r="AC368" s="7">
        <v>45612</v>
      </c>
      <c r="AD368" s="38"/>
      <c r="AE368" s="71">
        <v>45608</v>
      </c>
      <c r="AF368" s="15"/>
      <c r="AG368" s="15"/>
      <c r="AH368" s="15"/>
      <c r="AI368" s="15"/>
      <c r="AJ368" s="15"/>
      <c r="AK368" s="15"/>
      <c r="AL368" s="15"/>
      <c r="AM368" s="15"/>
      <c r="AN368" s="15"/>
      <c r="AO368" s="15"/>
      <c r="AP368" s="15"/>
      <c r="AQ368" s="15"/>
      <c r="AR368" s="15"/>
      <c r="AS368" s="15"/>
      <c r="AT368" s="15"/>
      <c r="AU368" s="15"/>
      <c r="AV368" s="15"/>
      <c r="AW368" s="15"/>
      <c r="AX368" s="15"/>
    </row>
    <row r="369" spans="1:50" s="15" customFormat="1" ht="18.75" hidden="1" thickBot="1" x14ac:dyDescent="0.3">
      <c r="A369" s="113" t="s">
        <v>325</v>
      </c>
      <c r="B369" s="6">
        <v>27987</v>
      </c>
      <c r="C369" s="5">
        <v>1210</v>
      </c>
      <c r="D369" s="6">
        <v>1</v>
      </c>
      <c r="E369" s="6" t="s">
        <v>326</v>
      </c>
      <c r="F369" s="6"/>
      <c r="G369" s="159"/>
      <c r="H369" s="4" t="s">
        <v>164</v>
      </c>
      <c r="I369" s="4" t="s">
        <v>327</v>
      </c>
      <c r="J369" s="4" t="s">
        <v>75</v>
      </c>
      <c r="K369" s="169"/>
      <c r="L369" s="313">
        <v>45608</v>
      </c>
      <c r="M369" s="64" t="s">
        <v>861</v>
      </c>
      <c r="N369" s="73" t="s">
        <v>45</v>
      </c>
      <c r="O369" s="13">
        <v>5400</v>
      </c>
      <c r="P369" s="6" t="s">
        <v>41</v>
      </c>
      <c r="Q369" s="19"/>
      <c r="R369" s="7"/>
      <c r="S369" s="156"/>
      <c r="T369" s="7">
        <v>45613</v>
      </c>
      <c r="U369" s="67" t="s">
        <v>1065</v>
      </c>
      <c r="V369" s="65" t="s">
        <v>1064</v>
      </c>
      <c r="W369" s="149" t="s">
        <v>45</v>
      </c>
      <c r="X369" s="236">
        <v>2075</v>
      </c>
      <c r="Y369" s="11" t="s">
        <v>329</v>
      </c>
      <c r="Z369" s="11"/>
      <c r="AA369" s="3"/>
      <c r="AB369" s="11"/>
      <c r="AC369" s="7">
        <v>45613</v>
      </c>
      <c r="AD369" s="38"/>
      <c r="AE369" s="71">
        <v>45603</v>
      </c>
    </row>
    <row r="370" spans="1:50" s="15" customFormat="1" ht="18.75" hidden="1" thickBot="1" x14ac:dyDescent="0.3">
      <c r="A370" s="16" t="s">
        <v>978</v>
      </c>
      <c r="B370" s="167">
        <v>27126</v>
      </c>
      <c r="C370" s="168">
        <v>55000</v>
      </c>
      <c r="D370" s="167" t="s">
        <v>48</v>
      </c>
      <c r="E370" s="167" t="s">
        <v>1048</v>
      </c>
      <c r="F370" s="167" t="s">
        <v>1066</v>
      </c>
      <c r="G370" s="167" t="s">
        <v>36</v>
      </c>
      <c r="H370" s="169" t="s">
        <v>37</v>
      </c>
      <c r="I370" s="169" t="s">
        <v>281</v>
      </c>
      <c r="J370" s="169" t="s">
        <v>120</v>
      </c>
      <c r="K370" s="169"/>
      <c r="L370" s="313">
        <v>45529</v>
      </c>
      <c r="M370" s="64" t="s">
        <v>39</v>
      </c>
      <c r="N370" s="73" t="s">
        <v>40</v>
      </c>
      <c r="O370" s="177">
        <f>9085+400</f>
        <v>9485</v>
      </c>
      <c r="P370" s="6" t="s">
        <v>41</v>
      </c>
      <c r="Q370" s="19">
        <f>+O370/C370</f>
        <v>0.17245454545454544</v>
      </c>
      <c r="R370" s="415"/>
      <c r="S370" s="156"/>
      <c r="T370" s="7">
        <v>45590</v>
      </c>
      <c r="U370" s="135" t="s">
        <v>43</v>
      </c>
      <c r="V370" s="7" t="s">
        <v>1064</v>
      </c>
      <c r="W370" s="149" t="s">
        <v>334</v>
      </c>
      <c r="X370" s="224">
        <v>174350</v>
      </c>
      <c r="Y370" s="11" t="s">
        <v>341</v>
      </c>
      <c r="Z370" s="171"/>
      <c r="AA370" s="351"/>
      <c r="AB370" s="64">
        <v>45600</v>
      </c>
      <c r="AC370" s="64">
        <v>45594</v>
      </c>
      <c r="AD370" s="38"/>
      <c r="AE370" s="263">
        <v>45597</v>
      </c>
    </row>
    <row r="371" spans="1:50" s="15" customFormat="1" ht="18.75" hidden="1" thickBot="1" x14ac:dyDescent="0.3">
      <c r="A371" s="16" t="s">
        <v>978</v>
      </c>
      <c r="B371" s="167">
        <v>27127</v>
      </c>
      <c r="C371" s="168">
        <v>55000</v>
      </c>
      <c r="D371" s="167" t="s">
        <v>48</v>
      </c>
      <c r="E371" s="167" t="s">
        <v>640</v>
      </c>
      <c r="F371" s="167" t="s">
        <v>1067</v>
      </c>
      <c r="G371" s="167" t="s">
        <v>36</v>
      </c>
      <c r="H371" s="169" t="s">
        <v>37</v>
      </c>
      <c r="I371" s="169" t="s">
        <v>281</v>
      </c>
      <c r="J371" s="169" t="s">
        <v>120</v>
      </c>
      <c r="K371" s="169"/>
      <c r="L371" s="313">
        <v>45529</v>
      </c>
      <c r="M371" s="64" t="s">
        <v>39</v>
      </c>
      <c r="N371" s="73" t="s">
        <v>40</v>
      </c>
      <c r="O371" s="177">
        <f>9085+400</f>
        <v>9485</v>
      </c>
      <c r="P371" s="6" t="s">
        <v>41</v>
      </c>
      <c r="Q371" s="19">
        <f>+O371/C371</f>
        <v>0.17245454545454544</v>
      </c>
      <c r="R371" s="415"/>
      <c r="S371" s="156"/>
      <c r="T371" s="7">
        <v>45590</v>
      </c>
      <c r="U371" s="135" t="s">
        <v>43</v>
      </c>
      <c r="V371" s="7" t="s">
        <v>1064</v>
      </c>
      <c r="W371" s="149" t="s">
        <v>334</v>
      </c>
      <c r="X371" s="224">
        <v>204600</v>
      </c>
      <c r="Y371" s="11" t="s">
        <v>341</v>
      </c>
      <c r="Z371" s="171"/>
      <c r="AA371" s="351"/>
      <c r="AB371" s="64">
        <v>45614</v>
      </c>
      <c r="AC371" s="64">
        <v>45594</v>
      </c>
      <c r="AD371" s="38"/>
      <c r="AE371" s="263">
        <v>45597</v>
      </c>
    </row>
    <row r="372" spans="1:50" s="30" customFormat="1" ht="18" hidden="1" customHeight="1" thickBot="1" x14ac:dyDescent="0.3">
      <c r="A372" s="209" t="s">
        <v>131</v>
      </c>
      <c r="B372" s="6">
        <v>27285</v>
      </c>
      <c r="C372" s="168">
        <v>55000</v>
      </c>
      <c r="D372" s="167" t="s">
        <v>33</v>
      </c>
      <c r="E372" s="167" t="s">
        <v>132</v>
      </c>
      <c r="F372" s="6" t="s">
        <v>1068</v>
      </c>
      <c r="G372" s="159" t="s">
        <v>108</v>
      </c>
      <c r="H372" s="167" t="s">
        <v>164</v>
      </c>
      <c r="I372" s="6" t="s">
        <v>319</v>
      </c>
      <c r="J372" s="6" t="s">
        <v>486</v>
      </c>
      <c r="K372" s="167"/>
      <c r="L372" s="313">
        <v>45560</v>
      </c>
      <c r="M372" s="7"/>
      <c r="N372" s="6" t="s">
        <v>40</v>
      </c>
      <c r="O372" s="13">
        <f>3486+400</f>
        <v>3886</v>
      </c>
      <c r="P372" s="6" t="s">
        <v>41</v>
      </c>
      <c r="Q372" s="41"/>
      <c r="R372" s="219"/>
      <c r="S372" s="156"/>
      <c r="T372" s="71">
        <v>45615</v>
      </c>
      <c r="U372" s="46" t="s">
        <v>43</v>
      </c>
      <c r="V372" s="7" t="s">
        <v>1064</v>
      </c>
      <c r="W372" s="10" t="s">
        <v>45</v>
      </c>
      <c r="X372" s="224">
        <v>71500</v>
      </c>
      <c r="Y372" s="11" t="s">
        <v>68</v>
      </c>
      <c r="Z372" s="11"/>
      <c r="AA372" s="7">
        <v>45616</v>
      </c>
      <c r="AB372" s="7">
        <v>45616</v>
      </c>
      <c r="AC372" s="7">
        <v>45614</v>
      </c>
      <c r="AD372" s="242"/>
      <c r="AE372" s="71">
        <v>45597</v>
      </c>
      <c r="AF372" s="15"/>
      <c r="AG372" s="15"/>
      <c r="AH372" s="15"/>
      <c r="AI372" s="15"/>
      <c r="AJ372" s="15"/>
      <c r="AK372" s="15"/>
      <c r="AL372" s="15"/>
      <c r="AM372" s="15"/>
      <c r="AN372" s="15"/>
      <c r="AO372" s="15"/>
      <c r="AP372" s="15"/>
      <c r="AQ372" s="15"/>
      <c r="AR372" s="15"/>
      <c r="AS372" s="15"/>
      <c r="AT372" s="15"/>
      <c r="AU372" s="15"/>
      <c r="AV372" s="15"/>
      <c r="AW372" s="15"/>
    </row>
    <row r="373" spans="1:50" s="30" customFormat="1" ht="18.75" hidden="1" thickBot="1" x14ac:dyDescent="0.3">
      <c r="A373" s="209" t="s">
        <v>131</v>
      </c>
      <c r="B373" s="6">
        <v>27264</v>
      </c>
      <c r="C373" s="168">
        <v>36250</v>
      </c>
      <c r="D373" s="167" t="s">
        <v>105</v>
      </c>
      <c r="E373" s="167" t="s">
        <v>1069</v>
      </c>
      <c r="F373" s="6" t="s">
        <v>1070</v>
      </c>
      <c r="G373" s="159" t="s">
        <v>108</v>
      </c>
      <c r="H373" s="167" t="s">
        <v>164</v>
      </c>
      <c r="I373" s="6" t="s">
        <v>319</v>
      </c>
      <c r="J373" s="6" t="s">
        <v>486</v>
      </c>
      <c r="K373" s="167"/>
      <c r="L373" s="313">
        <v>45560</v>
      </c>
      <c r="M373" s="7"/>
      <c r="N373" s="6" t="s">
        <v>40</v>
      </c>
      <c r="O373" s="13">
        <f>2484+400</f>
        <v>2884</v>
      </c>
      <c r="P373" s="6" t="s">
        <v>41</v>
      </c>
      <c r="Q373" s="41"/>
      <c r="R373" s="219"/>
      <c r="S373" s="156"/>
      <c r="T373" s="71">
        <v>45615</v>
      </c>
      <c r="U373" s="46" t="s">
        <v>43</v>
      </c>
      <c r="V373" s="7" t="s">
        <v>1064</v>
      </c>
      <c r="W373" s="10" t="s">
        <v>503</v>
      </c>
      <c r="X373" s="224">
        <v>72500</v>
      </c>
      <c r="Y373" s="11" t="s">
        <v>68</v>
      </c>
      <c r="Z373" s="11"/>
      <c r="AA373" s="7">
        <v>45616</v>
      </c>
      <c r="AB373" s="7">
        <v>45616</v>
      </c>
      <c r="AC373" s="7">
        <v>45615</v>
      </c>
      <c r="AD373" s="242"/>
      <c r="AE373" s="71">
        <v>45597</v>
      </c>
      <c r="AF373" s="15"/>
      <c r="AG373" s="15"/>
      <c r="AH373" s="15"/>
      <c r="AI373" s="15"/>
      <c r="AJ373" s="15"/>
      <c r="AK373" s="15"/>
      <c r="AL373" s="15"/>
      <c r="AM373" s="15"/>
      <c r="AN373" s="15"/>
      <c r="AO373" s="15"/>
      <c r="AP373" s="15"/>
      <c r="AQ373" s="15"/>
      <c r="AR373" s="15"/>
      <c r="AS373" s="15"/>
      <c r="AT373" s="15"/>
      <c r="AU373" s="15"/>
      <c r="AV373" s="15"/>
      <c r="AW373" s="15"/>
    </row>
    <row r="374" spans="1:50" s="15" customFormat="1" ht="18" hidden="1" x14ac:dyDescent="0.25">
      <c r="A374" s="16" t="s">
        <v>1071</v>
      </c>
      <c r="B374" s="6">
        <v>27156</v>
      </c>
      <c r="C374" s="5">
        <v>1848</v>
      </c>
      <c r="D374" s="6">
        <v>3</v>
      </c>
      <c r="E374" s="6" t="s">
        <v>125</v>
      </c>
      <c r="F374" s="6" t="s">
        <v>1072</v>
      </c>
      <c r="G374" s="6" t="s">
        <v>602</v>
      </c>
      <c r="H374" s="6" t="s">
        <v>51</v>
      </c>
      <c r="I374" s="6" t="s">
        <v>52</v>
      </c>
      <c r="J374" s="6" t="s">
        <v>75</v>
      </c>
      <c r="K374" s="6"/>
      <c r="L374" s="7">
        <v>45557</v>
      </c>
      <c r="M374" s="7"/>
      <c r="N374" s="73" t="s">
        <v>45</v>
      </c>
      <c r="O374" s="13">
        <v>0</v>
      </c>
      <c r="P374" s="6"/>
      <c r="Q374" s="19"/>
      <c r="R374" s="7">
        <v>45589</v>
      </c>
      <c r="S374" s="156" t="s">
        <v>65</v>
      </c>
      <c r="T374" s="71">
        <v>45604</v>
      </c>
      <c r="U374" s="46" t="s">
        <v>76</v>
      </c>
      <c r="V374" s="7" t="s">
        <v>1064</v>
      </c>
      <c r="W374" s="10" t="s">
        <v>45</v>
      </c>
      <c r="X374" s="224">
        <f>8469.98-2210.04</f>
        <v>6259.94</v>
      </c>
      <c r="Y374" s="11" t="s">
        <v>341</v>
      </c>
      <c r="Z374" s="171"/>
      <c r="AA374" s="351"/>
      <c r="AB374" s="7">
        <v>45611</v>
      </c>
      <c r="AC374" s="7">
        <v>45611</v>
      </c>
      <c r="AD374" s="38"/>
      <c r="AE374" s="255" t="s">
        <v>1073</v>
      </c>
    </row>
    <row r="375" spans="1:50" s="30" customFormat="1" ht="18" hidden="1" customHeight="1" x14ac:dyDescent="0.25">
      <c r="A375" s="109" t="s">
        <v>1074</v>
      </c>
      <c r="B375" s="22">
        <v>27598</v>
      </c>
      <c r="C375" s="23">
        <v>42000</v>
      </c>
      <c r="D375" s="22" t="s">
        <v>249</v>
      </c>
      <c r="E375" s="22" t="s">
        <v>380</v>
      </c>
      <c r="F375" s="22"/>
      <c r="G375" s="22"/>
      <c r="H375" s="22" t="s">
        <v>37</v>
      </c>
      <c r="I375" s="22" t="s">
        <v>838</v>
      </c>
      <c r="J375" s="22" t="s">
        <v>62</v>
      </c>
      <c r="K375" s="22"/>
      <c r="L375" s="25">
        <v>45608</v>
      </c>
      <c r="M375" s="25"/>
      <c r="N375" s="22" t="s">
        <v>39</v>
      </c>
      <c r="O375" s="26">
        <v>6550</v>
      </c>
      <c r="P375" s="22" t="s">
        <v>80</v>
      </c>
      <c r="Q375" s="259">
        <f>+O375/C375</f>
        <v>0.15595238095238095</v>
      </c>
      <c r="R375" s="217"/>
      <c r="S375" s="27"/>
      <c r="T375" s="24"/>
      <c r="U375" s="28" t="s">
        <v>66</v>
      </c>
      <c r="V375" s="25" t="s">
        <v>1064</v>
      </c>
      <c r="W375" s="55" t="s">
        <v>45</v>
      </c>
      <c r="X375" s="29">
        <v>302400</v>
      </c>
      <c r="Y375" s="24" t="s">
        <v>215</v>
      </c>
      <c r="Z375" s="261"/>
      <c r="AA375" s="351"/>
      <c r="AB375" s="351"/>
      <c r="AC375" s="7">
        <v>45614</v>
      </c>
      <c r="AD375" s="316"/>
      <c r="AE375" s="7">
        <v>45625</v>
      </c>
      <c r="AF375" s="15"/>
      <c r="AG375" s="15"/>
      <c r="AH375" s="15"/>
      <c r="AI375" s="15"/>
      <c r="AJ375" s="15"/>
      <c r="AK375" s="15"/>
      <c r="AL375" s="15"/>
      <c r="AM375" s="15"/>
      <c r="AN375" s="15"/>
      <c r="AO375" s="15"/>
      <c r="AP375" s="15"/>
      <c r="AQ375" s="15"/>
      <c r="AR375" s="15"/>
      <c r="AS375" s="15"/>
      <c r="AT375" s="15"/>
      <c r="AU375" s="15"/>
      <c r="AV375" s="15"/>
      <c r="AW375" s="15"/>
      <c r="AX375" s="15"/>
    </row>
    <row r="376" spans="1:50" s="30" customFormat="1" ht="18" hidden="1" customHeight="1" x14ac:dyDescent="0.25">
      <c r="A376" s="109" t="s">
        <v>1074</v>
      </c>
      <c r="B376" s="22">
        <v>27597</v>
      </c>
      <c r="C376" s="23">
        <v>42000</v>
      </c>
      <c r="D376" s="22" t="s">
        <v>249</v>
      </c>
      <c r="E376" s="22" t="s">
        <v>1075</v>
      </c>
      <c r="F376" s="22"/>
      <c r="G376" s="22"/>
      <c r="H376" s="22" t="s">
        <v>37</v>
      </c>
      <c r="I376" s="22" t="s">
        <v>838</v>
      </c>
      <c r="J376" s="22" t="s">
        <v>62</v>
      </c>
      <c r="K376" s="22"/>
      <c r="L376" s="25">
        <v>45608</v>
      </c>
      <c r="M376" s="25"/>
      <c r="N376" s="22" t="s">
        <v>39</v>
      </c>
      <c r="O376" s="26">
        <v>6550</v>
      </c>
      <c r="P376" s="22" t="s">
        <v>80</v>
      </c>
      <c r="Q376" s="259">
        <f>+O376/C376</f>
        <v>0.15595238095238095</v>
      </c>
      <c r="R376" s="217"/>
      <c r="S376" s="27"/>
      <c r="T376" s="24"/>
      <c r="U376" s="28" t="s">
        <v>66</v>
      </c>
      <c r="V376" s="25" t="s">
        <v>1064</v>
      </c>
      <c r="W376" s="55" t="s">
        <v>45</v>
      </c>
      <c r="X376" s="29">
        <v>168840</v>
      </c>
      <c r="Y376" s="24" t="s">
        <v>215</v>
      </c>
      <c r="Z376" s="261"/>
      <c r="AA376" s="351"/>
      <c r="AB376" s="351"/>
      <c r="AC376" s="7">
        <v>45615</v>
      </c>
      <c r="AD376" s="316"/>
      <c r="AE376" s="7">
        <v>45625</v>
      </c>
      <c r="AF376" s="15"/>
      <c r="AG376" s="15"/>
      <c r="AH376" s="15"/>
      <c r="AI376" s="15"/>
      <c r="AJ376" s="15"/>
      <c r="AK376" s="15"/>
      <c r="AL376" s="15"/>
      <c r="AM376" s="15"/>
      <c r="AN376" s="15"/>
      <c r="AO376" s="15"/>
      <c r="AP376" s="15"/>
      <c r="AQ376" s="15"/>
      <c r="AR376" s="15"/>
      <c r="AS376" s="15"/>
      <c r="AT376" s="15"/>
      <c r="AU376" s="15"/>
      <c r="AV376" s="15"/>
      <c r="AW376" s="15"/>
      <c r="AX376" s="15"/>
    </row>
    <row r="377" spans="1:50" s="30" customFormat="1" ht="18" hidden="1" customHeight="1" x14ac:dyDescent="0.25">
      <c r="A377" s="109" t="s">
        <v>313</v>
      </c>
      <c r="B377" s="22">
        <v>27785</v>
      </c>
      <c r="C377" s="23">
        <v>39600</v>
      </c>
      <c r="D377" s="22" t="s">
        <v>249</v>
      </c>
      <c r="E377" s="22" t="s">
        <v>318</v>
      </c>
      <c r="F377" s="22"/>
      <c r="G377" s="22"/>
      <c r="H377" s="22" t="s">
        <v>315</v>
      </c>
      <c r="I377" s="22"/>
      <c r="J377" s="22" t="s">
        <v>62</v>
      </c>
      <c r="K377" s="22"/>
      <c r="L377" s="25">
        <v>45614</v>
      </c>
      <c r="M377" s="25"/>
      <c r="N377" s="22" t="s">
        <v>357</v>
      </c>
      <c r="O377" s="26">
        <v>2600</v>
      </c>
      <c r="P377" s="22" t="s">
        <v>80</v>
      </c>
      <c r="Q377" s="259">
        <f>+O377/C377</f>
        <v>6.5656565656565663E-2</v>
      </c>
      <c r="R377" s="217"/>
      <c r="S377" s="27"/>
      <c r="T377" s="24"/>
      <c r="U377" s="28" t="s">
        <v>66</v>
      </c>
      <c r="V377" s="25" t="s">
        <v>1064</v>
      </c>
      <c r="W377" s="55" t="s">
        <v>45</v>
      </c>
      <c r="X377" s="29">
        <v>23364</v>
      </c>
      <c r="Y377" s="24" t="s">
        <v>215</v>
      </c>
      <c r="Z377" s="261"/>
      <c r="AA377" s="351"/>
      <c r="AB377" s="351"/>
      <c r="AC377" s="7">
        <v>45615</v>
      </c>
      <c r="AD377" s="316" t="s">
        <v>317</v>
      </c>
      <c r="AE377" s="7">
        <v>45625</v>
      </c>
      <c r="AF377" s="15"/>
      <c r="AG377" s="15"/>
      <c r="AH377" s="15"/>
      <c r="AI377" s="15"/>
      <c r="AJ377" s="15"/>
      <c r="AK377" s="15"/>
      <c r="AL377" s="15"/>
      <c r="AM377" s="15"/>
      <c r="AN377" s="15"/>
      <c r="AO377" s="15"/>
      <c r="AP377" s="15"/>
      <c r="AQ377" s="15"/>
      <c r="AR377" s="15"/>
      <c r="AS377" s="15"/>
      <c r="AT377" s="15"/>
      <c r="AU377" s="15"/>
      <c r="AV377" s="15"/>
      <c r="AW377" s="15"/>
      <c r="AX377" s="15"/>
    </row>
    <row r="378" spans="1:50" s="30" customFormat="1" ht="18" hidden="1" customHeight="1" x14ac:dyDescent="0.25">
      <c r="A378" s="21" t="s">
        <v>532</v>
      </c>
      <c r="B378" s="22">
        <v>27851</v>
      </c>
      <c r="C378" s="23">
        <v>28000</v>
      </c>
      <c r="D378" s="22">
        <v>14</v>
      </c>
      <c r="E378" s="22" t="s">
        <v>1034</v>
      </c>
      <c r="F378" s="22"/>
      <c r="G378" s="22"/>
      <c r="H378" s="22" t="s">
        <v>37</v>
      </c>
      <c r="I378" s="22" t="s">
        <v>729</v>
      </c>
      <c r="J378" s="22" t="s">
        <v>62</v>
      </c>
      <c r="K378" s="22"/>
      <c r="L378" s="255">
        <v>45611</v>
      </c>
      <c r="M378" s="25"/>
      <c r="N378" s="26" t="s">
        <v>441</v>
      </c>
      <c r="O378" s="26">
        <v>4800</v>
      </c>
      <c r="P378" s="26" t="s">
        <v>80</v>
      </c>
      <c r="Q378" s="259">
        <f>+O378/C378</f>
        <v>0.17142857142857143</v>
      </c>
      <c r="R378" s="217"/>
      <c r="S378" s="27"/>
      <c r="T378" s="24"/>
      <c r="U378" s="28" t="s">
        <v>66</v>
      </c>
      <c r="V378" s="25" t="s">
        <v>1064</v>
      </c>
      <c r="W378" s="55" t="s">
        <v>503</v>
      </c>
      <c r="X378" s="29">
        <v>89440</v>
      </c>
      <c r="Y378" s="24" t="s">
        <v>215</v>
      </c>
      <c r="Z378" s="261"/>
      <c r="AA378" s="351"/>
      <c r="AB378" s="351"/>
      <c r="AC378" s="7">
        <v>45616</v>
      </c>
      <c r="AD378" s="316"/>
      <c r="AE378" s="7">
        <v>45617</v>
      </c>
      <c r="AF378" s="15"/>
      <c r="AG378" s="15"/>
      <c r="AH378" s="15"/>
      <c r="AI378" s="15"/>
      <c r="AJ378" s="15"/>
      <c r="AK378" s="15"/>
      <c r="AL378" s="15"/>
      <c r="AM378" s="15"/>
      <c r="AN378" s="15"/>
      <c r="AO378" s="15"/>
      <c r="AP378" s="15"/>
      <c r="AQ378" s="15"/>
      <c r="AR378" s="15"/>
      <c r="AS378" s="15"/>
      <c r="AT378" s="15"/>
      <c r="AU378" s="15"/>
      <c r="AV378" s="15"/>
      <c r="AW378" s="15"/>
      <c r="AX378" s="15"/>
    </row>
    <row r="379" spans="1:50" s="30" customFormat="1" ht="18" hidden="1" x14ac:dyDescent="0.25">
      <c r="A379" s="341" t="s">
        <v>289</v>
      </c>
      <c r="B379" s="31">
        <v>26258</v>
      </c>
      <c r="C379" s="32">
        <v>44000</v>
      </c>
      <c r="D379" s="31" t="s">
        <v>105</v>
      </c>
      <c r="E379" s="31" t="s">
        <v>290</v>
      </c>
      <c r="F379" s="31" t="s">
        <v>1076</v>
      </c>
      <c r="G379" s="31" t="s">
        <v>36</v>
      </c>
      <c r="H379" s="31" t="s">
        <v>37</v>
      </c>
      <c r="I379" s="31" t="s">
        <v>350</v>
      </c>
      <c r="J379" s="31" t="s">
        <v>292</v>
      </c>
      <c r="K379" s="31"/>
      <c r="L379" s="102">
        <v>45536</v>
      </c>
      <c r="M379" s="34" t="s">
        <v>861</v>
      </c>
      <c r="N379" s="31"/>
      <c r="O379" s="35">
        <f>1907+48</f>
        <v>1955</v>
      </c>
      <c r="P379" s="31" t="s">
        <v>41</v>
      </c>
      <c r="Q379" s="258"/>
      <c r="R379" s="238"/>
      <c r="S379" s="49"/>
      <c r="T379" s="102">
        <v>45616</v>
      </c>
      <c r="U379" s="100" t="s">
        <v>1018</v>
      </c>
      <c r="V379" s="34" t="s">
        <v>1064</v>
      </c>
      <c r="W379" s="33" t="s">
        <v>1077</v>
      </c>
      <c r="X379" s="62">
        <v>47736</v>
      </c>
      <c r="Y379" s="33" t="s">
        <v>341</v>
      </c>
      <c r="Z379" s="33"/>
      <c r="AA379" s="78"/>
      <c r="AB379" s="7">
        <v>45618</v>
      </c>
      <c r="AC379" s="7">
        <v>45616</v>
      </c>
      <c r="AD379" s="38"/>
      <c r="AE379" s="71">
        <v>45616</v>
      </c>
      <c r="AF379" s="15"/>
      <c r="AG379" s="15"/>
      <c r="AH379" s="15"/>
      <c r="AI379" s="15"/>
      <c r="AJ379" s="15"/>
      <c r="AK379" s="15"/>
      <c r="AL379" s="15"/>
      <c r="AM379" s="15"/>
      <c r="AN379" s="15"/>
      <c r="AO379" s="15"/>
      <c r="AP379" s="15"/>
      <c r="AQ379" s="15"/>
      <c r="AR379" s="15"/>
      <c r="AS379" s="15"/>
      <c r="AT379" s="15"/>
      <c r="AU379" s="15"/>
      <c r="AV379" s="15"/>
      <c r="AW379" s="15"/>
    </row>
    <row r="380" spans="1:50" s="30" customFormat="1" ht="18" hidden="1" customHeight="1" x14ac:dyDescent="0.25">
      <c r="A380" s="109" t="s">
        <v>1078</v>
      </c>
      <c r="B380" s="22">
        <v>27986</v>
      </c>
      <c r="C380" s="23">
        <v>39600</v>
      </c>
      <c r="D380" s="22" t="s">
        <v>249</v>
      </c>
      <c r="E380" s="22" t="s">
        <v>1079</v>
      </c>
      <c r="F380" s="22"/>
      <c r="G380" s="22"/>
      <c r="H380" s="22" t="s">
        <v>164</v>
      </c>
      <c r="I380" s="22" t="s">
        <v>1080</v>
      </c>
      <c r="J380" s="22" t="s">
        <v>62</v>
      </c>
      <c r="K380" s="22"/>
      <c r="L380" s="25">
        <v>45604</v>
      </c>
      <c r="M380" s="25"/>
      <c r="N380" s="26" t="s">
        <v>441</v>
      </c>
      <c r="O380" s="26">
        <v>2100</v>
      </c>
      <c r="P380" s="22" t="s">
        <v>80</v>
      </c>
      <c r="Q380" s="259">
        <f t="shared" ref="Q380:Q385" si="15">+O380/C380</f>
        <v>5.3030303030303032E-2</v>
      </c>
      <c r="R380" s="217"/>
      <c r="S380" s="27"/>
      <c r="T380" s="24"/>
      <c r="U380" s="28" t="s">
        <v>66</v>
      </c>
      <c r="V380" s="25" t="s">
        <v>1064</v>
      </c>
      <c r="W380" s="24" t="s">
        <v>45</v>
      </c>
      <c r="X380" s="29">
        <v>62568</v>
      </c>
      <c r="Y380" s="24" t="s">
        <v>215</v>
      </c>
      <c r="Z380" s="261"/>
      <c r="AA380" s="351"/>
      <c r="AB380" s="351"/>
      <c r="AC380" s="7">
        <v>45617</v>
      </c>
      <c r="AD380" s="6"/>
      <c r="AE380" s="71">
        <v>45618</v>
      </c>
      <c r="AF380" s="15"/>
      <c r="AG380" s="15"/>
      <c r="AH380" s="15"/>
      <c r="AI380" s="15"/>
      <c r="AJ380" s="15"/>
      <c r="AK380" s="15"/>
      <c r="AL380" s="15"/>
      <c r="AM380" s="15"/>
      <c r="AN380" s="15"/>
      <c r="AO380" s="15"/>
      <c r="AP380" s="15"/>
      <c r="AQ380" s="15"/>
      <c r="AR380" s="15"/>
      <c r="AS380" s="15"/>
      <c r="AT380" s="15"/>
      <c r="AU380" s="15"/>
      <c r="AV380" s="15"/>
      <c r="AW380" s="15"/>
      <c r="AX380" s="15"/>
    </row>
    <row r="381" spans="1:50" s="30" customFormat="1" ht="18" hidden="1" x14ac:dyDescent="0.25">
      <c r="A381" s="109" t="s">
        <v>399</v>
      </c>
      <c r="B381" s="22">
        <v>27950</v>
      </c>
      <c r="C381" s="23">
        <v>55000</v>
      </c>
      <c r="D381" s="22" t="s">
        <v>249</v>
      </c>
      <c r="E381" s="22" t="s">
        <v>1081</v>
      </c>
      <c r="F381" s="22"/>
      <c r="G381" s="22"/>
      <c r="H381" s="22" t="s">
        <v>60</v>
      </c>
      <c r="I381" s="22"/>
      <c r="J381" s="22"/>
      <c r="K381" s="22"/>
      <c r="L381" s="25">
        <v>45611</v>
      </c>
      <c r="M381" s="25"/>
      <c r="N381" s="22"/>
      <c r="O381" s="26"/>
      <c r="P381" s="22"/>
      <c r="Q381" s="259">
        <f t="shared" si="15"/>
        <v>0</v>
      </c>
      <c r="R381" s="244"/>
      <c r="S381" s="315"/>
      <c r="T381" s="55"/>
      <c r="U381" s="28" t="s">
        <v>66</v>
      </c>
      <c r="V381" s="25" t="s">
        <v>1082</v>
      </c>
      <c r="W381" s="55" t="s">
        <v>45</v>
      </c>
      <c r="X381" s="29">
        <v>29745</v>
      </c>
      <c r="Y381" s="24" t="s">
        <v>215</v>
      </c>
      <c r="Z381" s="24"/>
      <c r="AA381" s="78"/>
      <c r="AB381" s="78"/>
      <c r="AC381" s="78"/>
      <c r="AD381" s="38"/>
      <c r="AE381" s="71" t="s">
        <v>378</v>
      </c>
      <c r="AF381" s="15"/>
      <c r="AG381" s="15"/>
      <c r="AH381" s="15"/>
      <c r="AI381" s="15"/>
      <c r="AJ381" s="15"/>
      <c r="AK381" s="15"/>
      <c r="AL381" s="15"/>
      <c r="AM381" s="15"/>
      <c r="AN381" s="15"/>
      <c r="AO381" s="15"/>
      <c r="AP381" s="15"/>
      <c r="AQ381" s="15"/>
      <c r="AR381" s="15"/>
      <c r="AS381" s="15"/>
      <c r="AT381" s="15"/>
      <c r="AU381" s="15"/>
      <c r="AV381" s="15"/>
      <c r="AW381" s="15"/>
      <c r="AX381" s="15"/>
    </row>
    <row r="382" spans="1:50" s="30" customFormat="1" ht="18" hidden="1" x14ac:dyDescent="0.25">
      <c r="A382" s="109" t="s">
        <v>821</v>
      </c>
      <c r="B382" s="22">
        <v>27263</v>
      </c>
      <c r="C382" s="23">
        <v>40000</v>
      </c>
      <c r="D382" s="22" t="s">
        <v>249</v>
      </c>
      <c r="E382" s="22" t="s">
        <v>439</v>
      </c>
      <c r="F382" s="22"/>
      <c r="G382" s="22"/>
      <c r="H382" s="22" t="s">
        <v>37</v>
      </c>
      <c r="I382" s="22" t="s">
        <v>438</v>
      </c>
      <c r="J382" s="24" t="s">
        <v>62</v>
      </c>
      <c r="K382" s="24"/>
      <c r="L382" s="25">
        <v>45614</v>
      </c>
      <c r="M382" s="25"/>
      <c r="N382" s="22" t="s">
        <v>39</v>
      </c>
      <c r="O382" s="26">
        <v>6550</v>
      </c>
      <c r="P382" s="22" t="s">
        <v>80</v>
      </c>
      <c r="Q382" s="259">
        <f t="shared" si="15"/>
        <v>0.16375000000000001</v>
      </c>
      <c r="R382" s="244"/>
      <c r="S382" s="315"/>
      <c r="T382" s="55"/>
      <c r="U382" s="245" t="s">
        <v>66</v>
      </c>
      <c r="V382" s="25" t="s">
        <v>1082</v>
      </c>
      <c r="W382" s="24" t="s">
        <v>503</v>
      </c>
      <c r="X382" s="29">
        <v>86000</v>
      </c>
      <c r="Y382" s="24" t="s">
        <v>215</v>
      </c>
      <c r="Z382" s="24"/>
      <c r="AA382" s="78"/>
      <c r="AB382" s="78"/>
      <c r="AC382" s="64">
        <v>45620</v>
      </c>
      <c r="AD382" s="38"/>
      <c r="AE382" s="71">
        <v>45625</v>
      </c>
      <c r="AF382" s="15"/>
      <c r="AG382" s="15"/>
      <c r="AH382" s="15"/>
      <c r="AI382" s="15"/>
      <c r="AJ382" s="15"/>
      <c r="AK382" s="15"/>
      <c r="AL382" s="15"/>
      <c r="AM382" s="15"/>
      <c r="AN382" s="15"/>
      <c r="AO382" s="15"/>
      <c r="AP382" s="15"/>
      <c r="AQ382" s="15"/>
      <c r="AR382" s="15"/>
      <c r="AS382" s="15"/>
      <c r="AT382" s="15"/>
      <c r="AU382" s="15"/>
      <c r="AV382" s="15"/>
      <c r="AW382" s="15"/>
      <c r="AX382" s="15"/>
    </row>
    <row r="383" spans="1:50" s="30" customFormat="1" ht="18" hidden="1" customHeight="1" x14ac:dyDescent="0.25">
      <c r="A383" s="21" t="s">
        <v>251</v>
      </c>
      <c r="B383" s="22">
        <v>26653</v>
      </c>
      <c r="C383" s="23">
        <v>40500</v>
      </c>
      <c r="D383" s="22" t="s">
        <v>249</v>
      </c>
      <c r="E383" s="22" t="s">
        <v>1083</v>
      </c>
      <c r="F383" s="22"/>
      <c r="G383" s="22"/>
      <c r="H383" s="22" t="s">
        <v>37</v>
      </c>
      <c r="I383" s="22" t="s">
        <v>253</v>
      </c>
      <c r="J383" s="22" t="s">
        <v>62</v>
      </c>
      <c r="K383" s="22"/>
      <c r="L383" s="25">
        <v>45608</v>
      </c>
      <c r="M383" s="25"/>
      <c r="N383" s="22" t="s">
        <v>39</v>
      </c>
      <c r="O383" s="26">
        <v>6550</v>
      </c>
      <c r="P383" s="22" t="s">
        <v>80</v>
      </c>
      <c r="Q383" s="259">
        <f t="shared" si="15"/>
        <v>0.1617283950617284</v>
      </c>
      <c r="R383" s="217"/>
      <c r="S383" s="27"/>
      <c r="T383" s="24"/>
      <c r="U383" s="28" t="s">
        <v>66</v>
      </c>
      <c r="V383" s="25" t="s">
        <v>1082</v>
      </c>
      <c r="W383" s="55" t="s">
        <v>45</v>
      </c>
      <c r="X383" s="29">
        <v>96390</v>
      </c>
      <c r="Y383" s="24" t="s">
        <v>215</v>
      </c>
      <c r="Z383" s="24"/>
      <c r="AA383" s="78"/>
      <c r="AB383" s="78"/>
      <c r="AC383" s="7">
        <v>45617</v>
      </c>
      <c r="AD383" s="316" t="s">
        <v>928</v>
      </c>
      <c r="AE383" s="7">
        <v>45625</v>
      </c>
      <c r="AF383" s="15"/>
      <c r="AG383" s="15"/>
      <c r="AH383" s="15"/>
      <c r="AI383" s="15"/>
      <c r="AJ383" s="15"/>
      <c r="AK383" s="15"/>
      <c r="AL383" s="15"/>
      <c r="AM383" s="15"/>
      <c r="AN383" s="15"/>
      <c r="AO383" s="15"/>
      <c r="AP383" s="15"/>
      <c r="AQ383" s="15"/>
      <c r="AR383" s="15"/>
      <c r="AS383" s="15"/>
      <c r="AT383" s="15"/>
      <c r="AU383" s="15"/>
      <c r="AV383" s="15"/>
      <c r="AW383" s="15"/>
      <c r="AX383" s="15"/>
    </row>
    <row r="384" spans="1:50" s="15" customFormat="1" ht="18.600000000000001" hidden="1" customHeight="1" thickBot="1" x14ac:dyDescent="0.3">
      <c r="A384" s="421" t="s">
        <v>136</v>
      </c>
      <c r="B384" s="167">
        <v>27223</v>
      </c>
      <c r="C384" s="168">
        <v>44800</v>
      </c>
      <c r="D384" s="167" t="s">
        <v>105</v>
      </c>
      <c r="E384" s="167" t="s">
        <v>1084</v>
      </c>
      <c r="F384" s="6" t="s">
        <v>1085</v>
      </c>
      <c r="G384" s="165" t="s">
        <v>119</v>
      </c>
      <c r="H384" s="169" t="s">
        <v>37</v>
      </c>
      <c r="I384" s="169" t="s">
        <v>97</v>
      </c>
      <c r="J384" s="169" t="s">
        <v>98</v>
      </c>
      <c r="K384" s="169"/>
      <c r="L384" s="313">
        <v>45551</v>
      </c>
      <c r="M384" s="64" t="s">
        <v>861</v>
      </c>
      <c r="N384" s="6" t="s">
        <v>40</v>
      </c>
      <c r="O384" s="177">
        <f>2800+400</f>
        <v>3200</v>
      </c>
      <c r="P384" s="6" t="s">
        <v>41</v>
      </c>
      <c r="Q384" s="19">
        <f t="shared" si="15"/>
        <v>7.1428571428571425E-2</v>
      </c>
      <c r="R384" s="415"/>
      <c r="S384" s="156"/>
      <c r="T384" s="71">
        <v>45616</v>
      </c>
      <c r="U384" s="67" t="s">
        <v>43</v>
      </c>
      <c r="V384" s="7" t="s">
        <v>1082</v>
      </c>
      <c r="W384" s="10" t="s">
        <v>45</v>
      </c>
      <c r="X384" s="224">
        <v>94000</v>
      </c>
      <c r="Y384" s="171" t="s">
        <v>68</v>
      </c>
      <c r="Z384" s="171"/>
      <c r="AA384" s="11"/>
      <c r="AB384" s="64">
        <v>45622</v>
      </c>
      <c r="AC384" s="64">
        <v>45620</v>
      </c>
      <c r="AD384" s="38"/>
      <c r="AE384" s="263">
        <v>45597</v>
      </c>
    </row>
    <row r="385" spans="1:51" s="15" customFormat="1" ht="18.75" hidden="1" thickBot="1" x14ac:dyDescent="0.3">
      <c r="A385" s="209" t="s">
        <v>364</v>
      </c>
      <c r="B385" s="6">
        <v>27550</v>
      </c>
      <c r="C385" s="5">
        <v>55000</v>
      </c>
      <c r="D385" s="6" t="s">
        <v>1086</v>
      </c>
      <c r="E385" s="6" t="s">
        <v>1087</v>
      </c>
      <c r="F385" s="6" t="s">
        <v>1088</v>
      </c>
      <c r="G385" s="6" t="s">
        <v>36</v>
      </c>
      <c r="H385" s="6" t="s">
        <v>51</v>
      </c>
      <c r="I385" s="6" t="s">
        <v>52</v>
      </c>
      <c r="J385" s="4"/>
      <c r="K385" s="169"/>
      <c r="L385" s="313">
        <v>45574</v>
      </c>
      <c r="M385" s="7"/>
      <c r="N385" s="6" t="s">
        <v>40</v>
      </c>
      <c r="O385" s="13">
        <v>575</v>
      </c>
      <c r="P385" s="6" t="s">
        <v>80</v>
      </c>
      <c r="Q385" s="19">
        <f t="shared" si="15"/>
        <v>1.0454545454545454E-2</v>
      </c>
      <c r="R385" s="65">
        <v>45603</v>
      </c>
      <c r="S385" s="41" t="s">
        <v>65</v>
      </c>
      <c r="T385" s="71">
        <v>45621</v>
      </c>
      <c r="U385" s="17" t="s">
        <v>76</v>
      </c>
      <c r="V385" s="7" t="s">
        <v>1082</v>
      </c>
      <c r="W385" s="10" t="s">
        <v>45</v>
      </c>
      <c r="X385" s="224">
        <v>82475</v>
      </c>
      <c r="Y385" s="11" t="s">
        <v>341</v>
      </c>
      <c r="Z385" s="171"/>
      <c r="AA385" s="351"/>
      <c r="AB385" s="64">
        <v>45622</v>
      </c>
      <c r="AC385" s="64">
        <v>45621</v>
      </c>
      <c r="AD385" s="38"/>
      <c r="AE385" s="263">
        <v>45626</v>
      </c>
    </row>
    <row r="386" spans="1:51" s="3" customFormat="1" ht="18" hidden="1" x14ac:dyDescent="0.25">
      <c r="A386" s="16" t="s">
        <v>175</v>
      </c>
      <c r="B386" s="4">
        <v>27456</v>
      </c>
      <c r="C386" s="5">
        <v>44000</v>
      </c>
      <c r="D386" s="6" t="s">
        <v>105</v>
      </c>
      <c r="E386" s="254" t="s">
        <v>176</v>
      </c>
      <c r="F386" s="6" t="s">
        <v>1089</v>
      </c>
      <c r="G386" s="159" t="s">
        <v>130</v>
      </c>
      <c r="H386" s="159" t="s">
        <v>164</v>
      </c>
      <c r="I386" s="159" t="s">
        <v>74</v>
      </c>
      <c r="J386" s="159" t="s">
        <v>75</v>
      </c>
      <c r="K386" s="159"/>
      <c r="L386" s="7">
        <v>45564</v>
      </c>
      <c r="M386" s="162" t="s">
        <v>861</v>
      </c>
      <c r="N386" s="6" t="s">
        <v>40</v>
      </c>
      <c r="O386" s="422">
        <f>4805+400</f>
        <v>5205</v>
      </c>
      <c r="P386" s="6" t="s">
        <v>41</v>
      </c>
      <c r="R386" s="7">
        <v>45593</v>
      </c>
      <c r="S386" s="156" t="s">
        <v>65</v>
      </c>
      <c r="T386" s="71">
        <v>45622</v>
      </c>
      <c r="U386" s="46" t="s">
        <v>178</v>
      </c>
      <c r="V386" s="7" t="s">
        <v>1082</v>
      </c>
      <c r="W386" s="10" t="s">
        <v>503</v>
      </c>
      <c r="X386" s="224">
        <v>45000</v>
      </c>
      <c r="Y386" s="11" t="s">
        <v>341</v>
      </c>
      <c r="Z386" s="171"/>
      <c r="AA386" s="351"/>
      <c r="AB386" s="64">
        <v>45620</v>
      </c>
      <c r="AC386" s="64">
        <v>45621</v>
      </c>
      <c r="AE386" s="263">
        <v>45597</v>
      </c>
      <c r="AF386" s="208"/>
      <c r="AG386" s="208"/>
      <c r="AH386" s="208"/>
      <c r="AI386" s="208"/>
      <c r="AJ386" s="208"/>
      <c r="AK386" s="208"/>
      <c r="AL386" s="208"/>
      <c r="AM386" s="208"/>
      <c r="AN386" s="208"/>
      <c r="AO386" s="208"/>
      <c r="AP386" s="208"/>
      <c r="AQ386" s="208"/>
      <c r="AR386" s="208"/>
      <c r="AS386" s="208"/>
    </row>
    <row r="387" spans="1:51" s="15" customFormat="1" ht="18.75" hidden="1" customHeight="1" x14ac:dyDescent="0.25">
      <c r="A387" s="209" t="s">
        <v>136</v>
      </c>
      <c r="B387" s="6">
        <v>27438</v>
      </c>
      <c r="C387" s="5">
        <v>44000</v>
      </c>
      <c r="D387" s="6" t="s">
        <v>105</v>
      </c>
      <c r="E387" s="6" t="s">
        <v>1090</v>
      </c>
      <c r="F387" s="6" t="s">
        <v>1091</v>
      </c>
      <c r="G387" s="6" t="s">
        <v>36</v>
      </c>
      <c r="H387" s="4" t="s">
        <v>37</v>
      </c>
      <c r="I387" s="4" t="s">
        <v>97</v>
      </c>
      <c r="J387" s="4" t="s">
        <v>98</v>
      </c>
      <c r="K387" s="4"/>
      <c r="L387" s="7">
        <v>45571</v>
      </c>
      <c r="M387" s="7" t="s">
        <v>99</v>
      </c>
      <c r="N387" s="6" t="s">
        <v>40</v>
      </c>
      <c r="O387" s="13">
        <f>3045+50+400</f>
        <v>3495</v>
      </c>
      <c r="P387" s="6" t="s">
        <v>41</v>
      </c>
      <c r="Q387" s="19"/>
      <c r="R387" s="219"/>
      <c r="S387" s="41"/>
      <c r="T387" s="71">
        <v>45618</v>
      </c>
      <c r="U387" s="67" t="s">
        <v>43</v>
      </c>
      <c r="V387" s="7" t="s">
        <v>1082</v>
      </c>
      <c r="W387" s="10" t="s">
        <v>45</v>
      </c>
      <c r="X387" s="224">
        <v>99300</v>
      </c>
      <c r="Y387" s="171" t="s">
        <v>68</v>
      </c>
      <c r="Z387" s="171"/>
      <c r="AA387" s="64">
        <v>45623</v>
      </c>
      <c r="AB387" s="64">
        <v>45623</v>
      </c>
      <c r="AC387" s="64">
        <v>45618</v>
      </c>
      <c r="AD387" s="38"/>
      <c r="AE387" s="263">
        <v>45623</v>
      </c>
    </row>
    <row r="388" spans="1:51" s="30" customFormat="1" ht="18" hidden="1" customHeight="1" x14ac:dyDescent="0.25">
      <c r="A388" s="109" t="s">
        <v>100</v>
      </c>
      <c r="B388" s="22">
        <v>27932</v>
      </c>
      <c r="C388" s="23">
        <v>6000</v>
      </c>
      <c r="D388" s="22">
        <v>3</v>
      </c>
      <c r="E388" s="22" t="s">
        <v>1092</v>
      </c>
      <c r="F388" s="22"/>
      <c r="G388" s="22"/>
      <c r="H388" s="22" t="s">
        <v>164</v>
      </c>
      <c r="I388" s="22" t="s">
        <v>1093</v>
      </c>
      <c r="J388" s="22" t="s">
        <v>62</v>
      </c>
      <c r="K388" s="22"/>
      <c r="L388" s="25">
        <v>45617</v>
      </c>
      <c r="M388" s="25"/>
      <c r="N388" s="22"/>
      <c r="O388" s="26"/>
      <c r="P388" s="22"/>
      <c r="Q388" s="26"/>
      <c r="R388" s="217"/>
      <c r="S388" s="27"/>
      <c r="T388" s="24"/>
      <c r="U388" s="28" t="s">
        <v>66</v>
      </c>
      <c r="V388" s="25" t="s">
        <v>1082</v>
      </c>
      <c r="W388" s="24" t="s">
        <v>45</v>
      </c>
      <c r="X388" s="29">
        <v>11100</v>
      </c>
      <c r="Y388" s="24" t="s">
        <v>215</v>
      </c>
      <c r="Z388" s="261"/>
      <c r="AA388" s="351"/>
      <c r="AB388" s="351"/>
      <c r="AC388" s="64"/>
      <c r="AD388" s="6"/>
      <c r="AE388" s="263">
        <v>45626</v>
      </c>
      <c r="AF388" s="15"/>
      <c r="AG388" s="15"/>
      <c r="AH388" s="15"/>
      <c r="AI388" s="15"/>
      <c r="AJ388" s="15"/>
      <c r="AK388" s="15"/>
      <c r="AL388" s="15"/>
      <c r="AM388" s="15"/>
      <c r="AN388" s="15"/>
      <c r="AO388" s="15"/>
      <c r="AP388" s="15"/>
      <c r="AQ388" s="15"/>
      <c r="AR388" s="15"/>
      <c r="AS388" s="15"/>
      <c r="AT388" s="15"/>
      <c r="AU388" s="15"/>
      <c r="AV388" s="15"/>
      <c r="AW388" s="15"/>
      <c r="AX388" s="15"/>
    </row>
    <row r="389" spans="1:51" s="15" customFormat="1" ht="18.600000000000001" hidden="1" customHeight="1" x14ac:dyDescent="0.25">
      <c r="A389" s="209" t="s">
        <v>136</v>
      </c>
      <c r="B389" s="6">
        <v>27155</v>
      </c>
      <c r="C389" s="5">
        <v>9612</v>
      </c>
      <c r="D389" s="880" t="s">
        <v>105</v>
      </c>
      <c r="E389" s="6" t="s">
        <v>1094</v>
      </c>
      <c r="F389" s="6" t="s">
        <v>1095</v>
      </c>
      <c r="G389" s="4" t="s">
        <v>119</v>
      </c>
      <c r="H389" s="880" t="s">
        <v>37</v>
      </c>
      <c r="I389" s="880" t="s">
        <v>97</v>
      </c>
      <c r="J389" s="880" t="s">
        <v>98</v>
      </c>
      <c r="K389" s="6"/>
      <c r="L389" s="7">
        <v>45532</v>
      </c>
      <c r="M389" s="7"/>
      <c r="N389" s="6" t="s">
        <v>40</v>
      </c>
      <c r="O389" s="13"/>
      <c r="P389" s="6"/>
      <c r="Q389" s="41"/>
      <c r="R389" s="219"/>
      <c r="S389" s="36"/>
      <c r="T389" s="71">
        <v>45623</v>
      </c>
      <c r="U389" s="17" t="s">
        <v>43</v>
      </c>
      <c r="V389" s="7" t="s">
        <v>1096</v>
      </c>
      <c r="W389" s="149" t="s">
        <v>45</v>
      </c>
      <c r="X389" s="224">
        <v>14256</v>
      </c>
      <c r="Y389" s="47" t="s">
        <v>68</v>
      </c>
      <c r="Z389" s="195"/>
      <c r="AA389" s="64">
        <v>45625</v>
      </c>
      <c r="AB389" s="64">
        <v>45625</v>
      </c>
      <c r="AC389" s="64">
        <v>45623</v>
      </c>
      <c r="AD389" s="242"/>
      <c r="AE389" s="71">
        <v>45622</v>
      </c>
    </row>
    <row r="390" spans="1:51" s="15" customFormat="1" ht="18" hidden="1" customHeight="1" x14ac:dyDescent="0.25">
      <c r="A390" s="209" t="s">
        <v>524</v>
      </c>
      <c r="B390" s="6">
        <v>27153</v>
      </c>
      <c r="C390" s="5">
        <v>13227.6</v>
      </c>
      <c r="D390" s="880"/>
      <c r="E390" s="6" t="s">
        <v>1097</v>
      </c>
      <c r="F390" s="6" t="s">
        <v>1095</v>
      </c>
      <c r="G390" s="4" t="s">
        <v>119</v>
      </c>
      <c r="H390" s="880"/>
      <c r="I390" s="880"/>
      <c r="J390" s="880"/>
      <c r="K390" s="6"/>
      <c r="L390" s="7">
        <v>45532</v>
      </c>
      <c r="M390" s="7"/>
      <c r="N390" s="6" t="s">
        <v>40</v>
      </c>
      <c r="O390" s="13"/>
      <c r="P390" s="6"/>
      <c r="Q390" s="41"/>
      <c r="R390" s="219"/>
      <c r="S390" s="36"/>
      <c r="T390" s="71">
        <v>45623</v>
      </c>
      <c r="U390" s="17" t="s">
        <v>43</v>
      </c>
      <c r="V390" s="7" t="s">
        <v>1096</v>
      </c>
      <c r="W390" s="10" t="s">
        <v>45</v>
      </c>
      <c r="X390" s="224">
        <v>23880</v>
      </c>
      <c r="Y390" s="11" t="s">
        <v>68</v>
      </c>
      <c r="Z390" s="171"/>
      <c r="AA390" s="64">
        <v>45625</v>
      </c>
      <c r="AB390" s="64">
        <v>45625</v>
      </c>
      <c r="AC390" s="64">
        <v>45623</v>
      </c>
      <c r="AD390" s="242"/>
      <c r="AE390" s="71">
        <v>45622</v>
      </c>
    </row>
    <row r="391" spans="1:51" s="15" customFormat="1" ht="18" hidden="1" x14ac:dyDescent="0.25">
      <c r="A391" s="209" t="s">
        <v>364</v>
      </c>
      <c r="B391" s="6">
        <v>27511</v>
      </c>
      <c r="C391" s="5">
        <v>55000</v>
      </c>
      <c r="D391" s="6" t="s">
        <v>1086</v>
      </c>
      <c r="E391" s="6" t="s">
        <v>1098</v>
      </c>
      <c r="F391" s="6" t="s">
        <v>1099</v>
      </c>
      <c r="G391" s="6" t="s">
        <v>36</v>
      </c>
      <c r="H391" s="6" t="s">
        <v>51</v>
      </c>
      <c r="I391" s="6" t="s">
        <v>52</v>
      </c>
      <c r="J391" s="4"/>
      <c r="K391" s="4"/>
      <c r="L391" s="7">
        <v>45574</v>
      </c>
      <c r="M391" s="7"/>
      <c r="N391" s="6" t="s">
        <v>40</v>
      </c>
      <c r="O391" s="13">
        <v>575</v>
      </c>
      <c r="P391" s="6" t="s">
        <v>80</v>
      </c>
      <c r="Q391" s="19">
        <f>+O391/C391</f>
        <v>1.0454545454545454E-2</v>
      </c>
      <c r="R391" s="7">
        <v>45603</v>
      </c>
      <c r="S391" s="41" t="s">
        <v>65</v>
      </c>
      <c r="T391" s="71">
        <v>45624</v>
      </c>
      <c r="U391" s="17" t="s">
        <v>76</v>
      </c>
      <c r="V391" s="7" t="s">
        <v>1096</v>
      </c>
      <c r="W391" s="10" t="s">
        <v>45</v>
      </c>
      <c r="X391" s="224">
        <v>78515</v>
      </c>
      <c r="Y391" s="47" t="s">
        <v>341</v>
      </c>
      <c r="Z391" s="195"/>
      <c r="AA391" s="351"/>
      <c r="AB391" s="64">
        <v>45625</v>
      </c>
      <c r="AC391" s="7">
        <v>45624</v>
      </c>
      <c r="AD391" s="38"/>
      <c r="AE391" s="71">
        <v>45633</v>
      </c>
    </row>
    <row r="392" spans="1:51" s="30" customFormat="1" ht="18" hidden="1" customHeight="1" x14ac:dyDescent="0.25">
      <c r="A392" s="21" t="s">
        <v>259</v>
      </c>
      <c r="B392" s="22">
        <v>27988</v>
      </c>
      <c r="C392" s="23">
        <v>9900</v>
      </c>
      <c r="D392" s="22">
        <v>5</v>
      </c>
      <c r="E392" s="22" t="s">
        <v>273</v>
      </c>
      <c r="F392" s="22"/>
      <c r="G392" s="22"/>
      <c r="H392" s="22" t="s">
        <v>37</v>
      </c>
      <c r="I392" s="22" t="s">
        <v>261</v>
      </c>
      <c r="J392" s="22" t="s">
        <v>53</v>
      </c>
      <c r="K392" s="22"/>
      <c r="L392" s="25">
        <v>45628</v>
      </c>
      <c r="M392" s="25"/>
      <c r="N392" s="22"/>
      <c r="O392" s="26"/>
      <c r="P392" s="22"/>
      <c r="Q392" s="259">
        <f>+'SHIPMENT RECEIVED 2024-2025'!O394/C392</f>
        <v>0.22171717171717173</v>
      </c>
      <c r="R392" s="217"/>
      <c r="S392" s="27"/>
      <c r="T392" s="24"/>
      <c r="U392" s="28" t="s">
        <v>66</v>
      </c>
      <c r="V392" s="25" t="s">
        <v>1096</v>
      </c>
      <c r="W392" s="24" t="s">
        <v>45</v>
      </c>
      <c r="X392" s="423">
        <v>20250</v>
      </c>
      <c r="Y392" s="24" t="s">
        <v>215</v>
      </c>
      <c r="Z392" s="261"/>
      <c r="AA392" s="351"/>
      <c r="AB392" s="64"/>
      <c r="AC392" s="64"/>
      <c r="AD392" s="6"/>
      <c r="AE392" s="71" t="s">
        <v>378</v>
      </c>
      <c r="AF392" s="15"/>
      <c r="AG392" s="15"/>
      <c r="AH392" s="15"/>
      <c r="AI392" s="15"/>
      <c r="AJ392" s="15"/>
      <c r="AK392" s="15"/>
      <c r="AL392" s="15"/>
      <c r="AM392" s="15"/>
      <c r="AN392" s="15"/>
      <c r="AO392" s="15"/>
      <c r="AP392" s="15"/>
      <c r="AQ392" s="15"/>
      <c r="AR392" s="15"/>
      <c r="AS392" s="15"/>
      <c r="AT392" s="15"/>
      <c r="AU392" s="15"/>
      <c r="AV392" s="15"/>
      <c r="AW392" s="15"/>
      <c r="AX392" s="15"/>
    </row>
    <row r="393" spans="1:51" s="30" customFormat="1" ht="18" hidden="1" customHeight="1" x14ac:dyDescent="0.25">
      <c r="A393" s="109" t="s">
        <v>259</v>
      </c>
      <c r="B393" s="22">
        <v>24559</v>
      </c>
      <c r="C393" s="23">
        <v>40500</v>
      </c>
      <c r="D393" s="22" t="s">
        <v>249</v>
      </c>
      <c r="E393" s="22" t="s">
        <v>260</v>
      </c>
      <c r="F393" s="22"/>
      <c r="G393" s="22"/>
      <c r="H393" s="22" t="s">
        <v>37</v>
      </c>
      <c r="I393" s="22" t="s">
        <v>261</v>
      </c>
      <c r="J393" s="22" t="s">
        <v>53</v>
      </c>
      <c r="K393" s="22"/>
      <c r="L393" s="25">
        <v>45628</v>
      </c>
      <c r="M393" s="25"/>
      <c r="N393" s="22"/>
      <c r="O393" s="26"/>
      <c r="P393" s="22"/>
      <c r="Q393" s="259"/>
      <c r="R393" s="217"/>
      <c r="S393" s="27"/>
      <c r="T393" s="24"/>
      <c r="U393" s="28" t="s">
        <v>66</v>
      </c>
      <c r="V393" s="25" t="s">
        <v>1096</v>
      </c>
      <c r="W393" s="24" t="s">
        <v>45</v>
      </c>
      <c r="X393" s="29">
        <v>55485</v>
      </c>
      <c r="Y393" s="24" t="s">
        <v>215</v>
      </c>
      <c r="Z393" s="24"/>
      <c r="AA393" s="78"/>
      <c r="AB393" s="11"/>
      <c r="AC393" s="7"/>
      <c r="AD393" s="38"/>
      <c r="AE393" s="71" t="s">
        <v>378</v>
      </c>
      <c r="AF393" s="15"/>
      <c r="AG393" s="15"/>
      <c r="AH393" s="15"/>
      <c r="AI393" s="15"/>
      <c r="AJ393" s="15"/>
      <c r="AK393" s="15"/>
      <c r="AL393" s="15"/>
      <c r="AM393" s="15"/>
      <c r="AN393" s="15"/>
      <c r="AO393" s="15"/>
      <c r="AP393" s="15"/>
      <c r="AQ393" s="15"/>
      <c r="AR393" s="15"/>
      <c r="AS393" s="15"/>
      <c r="AT393" s="15"/>
      <c r="AU393" s="15"/>
      <c r="AV393" s="15"/>
      <c r="AW393" s="15"/>
      <c r="AX393" s="15"/>
    </row>
    <row r="394" spans="1:51" s="30" customFormat="1" ht="16.899999999999999" hidden="1" customHeight="1" x14ac:dyDescent="0.25">
      <c r="A394" s="109" t="s">
        <v>560</v>
      </c>
      <c r="B394" s="22">
        <v>28043</v>
      </c>
      <c r="C394" s="23">
        <v>40905</v>
      </c>
      <c r="D394" s="22" t="s">
        <v>249</v>
      </c>
      <c r="E394" s="22" t="s">
        <v>1100</v>
      </c>
      <c r="F394" s="22"/>
      <c r="G394" s="22"/>
      <c r="H394" s="22" t="s">
        <v>37</v>
      </c>
      <c r="I394" s="22" t="s">
        <v>741</v>
      </c>
      <c r="J394" s="22" t="s">
        <v>62</v>
      </c>
      <c r="K394" s="22"/>
      <c r="L394" s="25">
        <v>45628</v>
      </c>
      <c r="M394" s="25"/>
      <c r="N394" s="22" t="s">
        <v>357</v>
      </c>
      <c r="O394" s="26">
        <v>2195</v>
      </c>
      <c r="P394" s="22" t="s">
        <v>80</v>
      </c>
      <c r="Q394" s="259">
        <f>+O394/C394</f>
        <v>5.3660921647720329E-2</v>
      </c>
      <c r="R394" s="217"/>
      <c r="S394" s="27"/>
      <c r="T394" s="24"/>
      <c r="U394" s="28" t="s">
        <v>66</v>
      </c>
      <c r="V394" s="25" t="s">
        <v>1096</v>
      </c>
      <c r="W394" s="24" t="s">
        <v>45</v>
      </c>
      <c r="X394" s="29">
        <v>72234</v>
      </c>
      <c r="Y394" s="24" t="s">
        <v>215</v>
      </c>
      <c r="Z394" s="24"/>
      <c r="AA394" s="78"/>
      <c r="AB394" s="78"/>
      <c r="AC394" s="7">
        <v>45629</v>
      </c>
      <c r="AD394" s="6"/>
      <c r="AE394" s="71">
        <v>45643</v>
      </c>
      <c r="AF394" s="15"/>
      <c r="AG394" s="15"/>
      <c r="AH394" s="15"/>
      <c r="AI394" s="15"/>
      <c r="AJ394" s="15"/>
      <c r="AK394" s="15"/>
      <c r="AL394" s="15"/>
      <c r="AM394" s="15"/>
      <c r="AN394" s="15"/>
      <c r="AO394" s="15"/>
      <c r="AP394" s="15"/>
      <c r="AQ394" s="15"/>
      <c r="AR394" s="15"/>
      <c r="AS394" s="15"/>
      <c r="AT394" s="15"/>
      <c r="AU394" s="15"/>
      <c r="AV394" s="15"/>
      <c r="AW394" s="15"/>
      <c r="AX394" s="15"/>
    </row>
    <row r="395" spans="1:51" s="30" customFormat="1" ht="17.25" hidden="1" customHeight="1" x14ac:dyDescent="0.25">
      <c r="A395" s="109" t="s">
        <v>392</v>
      </c>
      <c r="B395" s="22">
        <v>27561</v>
      </c>
      <c r="C395" s="23">
        <v>50000</v>
      </c>
      <c r="D395" s="22" t="s">
        <v>249</v>
      </c>
      <c r="E395" s="22" t="s">
        <v>778</v>
      </c>
      <c r="F395" s="22"/>
      <c r="G395" s="22"/>
      <c r="H395" s="22" t="s">
        <v>37</v>
      </c>
      <c r="I395" s="22" t="s">
        <v>394</v>
      </c>
      <c r="J395" s="22" t="s">
        <v>53</v>
      </c>
      <c r="K395" s="22"/>
      <c r="L395" s="255">
        <v>45632</v>
      </c>
      <c r="M395" s="25"/>
      <c r="N395" s="22"/>
      <c r="O395" s="26"/>
      <c r="P395" s="22"/>
      <c r="Q395" s="259"/>
      <c r="R395" s="217"/>
      <c r="S395" s="27"/>
      <c r="T395" s="24"/>
      <c r="U395" s="28" t="s">
        <v>66</v>
      </c>
      <c r="V395" s="25" t="s">
        <v>1096</v>
      </c>
      <c r="W395" s="424" t="s">
        <v>45</v>
      </c>
      <c r="X395" s="29">
        <v>119860</v>
      </c>
      <c r="Y395" s="24" t="s">
        <v>215</v>
      </c>
      <c r="Z395" s="24"/>
      <c r="AA395" s="78"/>
      <c r="AB395" s="7"/>
      <c r="AC395" s="7"/>
      <c r="AD395" s="6"/>
      <c r="AE395" s="71" t="s">
        <v>378</v>
      </c>
      <c r="AF395" s="15"/>
      <c r="AG395" s="15"/>
      <c r="AH395" s="15"/>
      <c r="AI395" s="15"/>
      <c r="AJ395" s="15"/>
      <c r="AK395" s="15"/>
      <c r="AL395" s="15"/>
      <c r="AM395" s="15"/>
      <c r="AN395" s="15"/>
      <c r="AO395" s="15"/>
      <c r="AP395" s="15"/>
      <c r="AQ395" s="15"/>
      <c r="AR395" s="15"/>
      <c r="AS395" s="15"/>
      <c r="AT395" s="15"/>
      <c r="AU395" s="15"/>
      <c r="AV395" s="15"/>
      <c r="AW395" s="15"/>
      <c r="AX395" s="15"/>
    </row>
    <row r="396" spans="1:51" s="30" customFormat="1" ht="17.25" hidden="1" customHeight="1" x14ac:dyDescent="0.25">
      <c r="A396" s="109" t="s">
        <v>392</v>
      </c>
      <c r="B396" s="22">
        <v>27553</v>
      </c>
      <c r="C396" s="23">
        <v>50000</v>
      </c>
      <c r="D396" s="22" t="s">
        <v>249</v>
      </c>
      <c r="E396" s="22" t="s">
        <v>789</v>
      </c>
      <c r="F396" s="22"/>
      <c r="G396" s="22"/>
      <c r="H396" s="22" t="s">
        <v>37</v>
      </c>
      <c r="I396" s="22" t="s">
        <v>394</v>
      </c>
      <c r="J396" s="22" t="s">
        <v>53</v>
      </c>
      <c r="K396" s="22"/>
      <c r="L396" s="255">
        <v>45635</v>
      </c>
      <c r="M396" s="25"/>
      <c r="N396" s="22"/>
      <c r="O396" s="26"/>
      <c r="P396" s="22"/>
      <c r="Q396" s="259"/>
      <c r="R396" s="217"/>
      <c r="S396" s="27"/>
      <c r="T396" s="24"/>
      <c r="U396" s="28" t="s">
        <v>66</v>
      </c>
      <c r="V396" s="25" t="s">
        <v>1101</v>
      </c>
      <c r="W396" s="424" t="s">
        <v>334</v>
      </c>
      <c r="X396" s="29">
        <v>119860</v>
      </c>
      <c r="Y396" s="24" t="s">
        <v>215</v>
      </c>
      <c r="Z396" s="24"/>
      <c r="AA396" s="78"/>
      <c r="AB396" s="7"/>
      <c r="AC396" s="7"/>
      <c r="AD396" s="6"/>
      <c r="AE396" s="71" t="s">
        <v>378</v>
      </c>
      <c r="AF396" s="15"/>
      <c r="AG396" s="15"/>
      <c r="AH396" s="15"/>
      <c r="AI396" s="15"/>
      <c r="AJ396" s="15"/>
      <c r="AK396" s="15"/>
      <c r="AL396" s="15"/>
      <c r="AM396" s="15"/>
      <c r="AN396" s="15"/>
      <c r="AO396" s="15"/>
      <c r="AP396" s="15"/>
      <c r="AQ396" s="15"/>
      <c r="AR396" s="15"/>
      <c r="AS396" s="15"/>
      <c r="AT396" s="15"/>
      <c r="AU396" s="15"/>
      <c r="AV396" s="15"/>
      <c r="AW396" s="15"/>
      <c r="AX396" s="15"/>
    </row>
    <row r="397" spans="1:51" s="30" customFormat="1" ht="18" hidden="1" x14ac:dyDescent="0.25">
      <c r="A397" s="109" t="s">
        <v>1015</v>
      </c>
      <c r="B397" s="22">
        <v>27800</v>
      </c>
      <c r="C397" s="23">
        <v>42000</v>
      </c>
      <c r="D397" s="22" t="s">
        <v>249</v>
      </c>
      <c r="E397" s="22" t="s">
        <v>1102</v>
      </c>
      <c r="F397" s="22"/>
      <c r="G397" s="22"/>
      <c r="H397" s="22" t="s">
        <v>37</v>
      </c>
      <c r="I397" s="22" t="s">
        <v>931</v>
      </c>
      <c r="J397" s="22" t="s">
        <v>62</v>
      </c>
      <c r="K397" s="22"/>
      <c r="L397" s="25">
        <v>45628</v>
      </c>
      <c r="M397" s="25"/>
      <c r="N397" s="22" t="s">
        <v>103</v>
      </c>
      <c r="O397" s="26">
        <v>6500</v>
      </c>
      <c r="P397" s="22" t="s">
        <v>80</v>
      </c>
      <c r="Q397" s="259">
        <f t="shared" ref="Q397:Q416" si="16">+O397/C397</f>
        <v>0.15476190476190477</v>
      </c>
      <c r="R397" s="217"/>
      <c r="S397" s="27"/>
      <c r="T397" s="24"/>
      <c r="U397" s="28" t="s">
        <v>66</v>
      </c>
      <c r="V397" s="25" t="s">
        <v>1101</v>
      </c>
      <c r="W397" s="424" t="s">
        <v>45</v>
      </c>
      <c r="X397" s="29">
        <v>113400</v>
      </c>
      <c r="Y397" s="24" t="s">
        <v>215</v>
      </c>
      <c r="Z397" s="261"/>
      <c r="AA397" s="351"/>
      <c r="AB397" s="351"/>
      <c r="AC397" s="7">
        <v>45633</v>
      </c>
      <c r="AD397" s="6"/>
      <c r="AE397" s="263">
        <v>45642</v>
      </c>
      <c r="AF397" s="15"/>
      <c r="AG397" s="15"/>
      <c r="AH397" s="15"/>
      <c r="AI397" s="15"/>
      <c r="AJ397" s="15"/>
      <c r="AK397" s="15"/>
      <c r="AL397" s="15"/>
      <c r="AM397" s="15"/>
      <c r="AN397" s="15"/>
      <c r="AO397" s="15"/>
      <c r="AP397" s="15"/>
      <c r="AQ397" s="15"/>
      <c r="AR397" s="15"/>
      <c r="AS397" s="15"/>
      <c r="AT397" s="15"/>
      <c r="AU397" s="15"/>
      <c r="AV397" s="15"/>
      <c r="AW397" s="15"/>
      <c r="AX397" s="15"/>
      <c r="AY397" s="15"/>
    </row>
    <row r="398" spans="1:51" s="15" customFormat="1" ht="18" hidden="1" customHeight="1" thickBot="1" x14ac:dyDescent="0.3">
      <c r="A398" s="113" t="s">
        <v>506</v>
      </c>
      <c r="B398" s="6">
        <v>26659</v>
      </c>
      <c r="C398" s="5">
        <v>55000</v>
      </c>
      <c r="D398" s="6" t="s">
        <v>33</v>
      </c>
      <c r="E398" s="6" t="s">
        <v>522</v>
      </c>
      <c r="F398" s="6" t="s">
        <v>1103</v>
      </c>
      <c r="G398" s="159" t="s">
        <v>1104</v>
      </c>
      <c r="H398" s="4" t="s">
        <v>37</v>
      </c>
      <c r="I398" s="4" t="s">
        <v>412</v>
      </c>
      <c r="J398" s="4" t="s">
        <v>413</v>
      </c>
      <c r="K398" s="169"/>
      <c r="L398" s="313">
        <v>45569</v>
      </c>
      <c r="M398" s="7" t="s">
        <v>39</v>
      </c>
      <c r="N398" s="6" t="s">
        <v>40</v>
      </c>
      <c r="O398" s="13">
        <f>8125+35</f>
        <v>8160</v>
      </c>
      <c r="P398" s="6" t="s">
        <v>41</v>
      </c>
      <c r="Q398" s="19">
        <f t="shared" si="16"/>
        <v>0.14836363636363636</v>
      </c>
      <c r="R398" s="7">
        <v>45620</v>
      </c>
      <c r="S398" s="156" t="s">
        <v>65</v>
      </c>
      <c r="T398" s="7">
        <v>45634</v>
      </c>
      <c r="U398" s="67" t="s">
        <v>178</v>
      </c>
      <c r="V398" s="7" t="s">
        <v>1101</v>
      </c>
      <c r="W398" s="10" t="s">
        <v>45</v>
      </c>
      <c r="X398" s="224">
        <v>65340</v>
      </c>
      <c r="Y398" s="11" t="s">
        <v>68</v>
      </c>
      <c r="Z398" s="171"/>
      <c r="AA398" s="64">
        <v>45632</v>
      </c>
      <c r="AB398" s="64">
        <v>45635</v>
      </c>
      <c r="AC398" s="7">
        <v>45634</v>
      </c>
      <c r="AD398" s="38"/>
      <c r="AE398" s="71">
        <v>45627</v>
      </c>
    </row>
    <row r="399" spans="1:51" s="15" customFormat="1" ht="18.75" hidden="1" thickBot="1" x14ac:dyDescent="0.3">
      <c r="A399" s="120" t="s">
        <v>506</v>
      </c>
      <c r="B399" s="6">
        <v>26661</v>
      </c>
      <c r="C399" s="5">
        <v>55000</v>
      </c>
      <c r="D399" s="6" t="s">
        <v>33</v>
      </c>
      <c r="E399" s="6" t="s">
        <v>410</v>
      </c>
      <c r="F399" s="6" t="s">
        <v>1105</v>
      </c>
      <c r="G399" s="159" t="s">
        <v>1104</v>
      </c>
      <c r="H399" s="4" t="s">
        <v>37</v>
      </c>
      <c r="I399" s="4" t="s">
        <v>412</v>
      </c>
      <c r="J399" s="4" t="s">
        <v>413</v>
      </c>
      <c r="K399" s="169"/>
      <c r="L399" s="313">
        <v>45569</v>
      </c>
      <c r="M399" s="7" t="s">
        <v>39</v>
      </c>
      <c r="N399" s="6" t="s">
        <v>40</v>
      </c>
      <c r="O399" s="13">
        <f>8125+35</f>
        <v>8160</v>
      </c>
      <c r="P399" s="6" t="s">
        <v>41</v>
      </c>
      <c r="Q399" s="19">
        <f t="shared" si="16"/>
        <v>0.14836363636363636</v>
      </c>
      <c r="R399" s="7">
        <v>45620</v>
      </c>
      <c r="S399" s="156" t="s">
        <v>65</v>
      </c>
      <c r="T399" s="7">
        <v>45634</v>
      </c>
      <c r="U399" s="67" t="s">
        <v>178</v>
      </c>
      <c r="V399" s="7" t="s">
        <v>1101</v>
      </c>
      <c r="W399" s="10" t="s">
        <v>334</v>
      </c>
      <c r="X399" s="224">
        <v>66420</v>
      </c>
      <c r="Y399" s="11" t="s">
        <v>68</v>
      </c>
      <c r="Z399" s="171"/>
      <c r="AA399" s="64">
        <v>45632</v>
      </c>
      <c r="AB399" s="64">
        <v>45635</v>
      </c>
      <c r="AC399" s="7">
        <v>45634</v>
      </c>
      <c r="AD399" s="38"/>
      <c r="AE399" s="71">
        <v>45627</v>
      </c>
    </row>
    <row r="400" spans="1:51" s="15" customFormat="1" ht="18.75" hidden="1" thickBot="1" x14ac:dyDescent="0.3">
      <c r="A400" s="120" t="s">
        <v>506</v>
      </c>
      <c r="B400" s="6">
        <v>26662</v>
      </c>
      <c r="C400" s="5">
        <v>55000</v>
      </c>
      <c r="D400" s="6" t="s">
        <v>33</v>
      </c>
      <c r="E400" s="6" t="s">
        <v>410</v>
      </c>
      <c r="F400" s="6" t="s">
        <v>1106</v>
      </c>
      <c r="G400" s="159" t="s">
        <v>1104</v>
      </c>
      <c r="H400" s="4" t="s">
        <v>37</v>
      </c>
      <c r="I400" s="4" t="s">
        <v>412</v>
      </c>
      <c r="J400" s="4" t="s">
        <v>413</v>
      </c>
      <c r="K400" s="169"/>
      <c r="L400" s="313">
        <v>45569</v>
      </c>
      <c r="M400" s="7" t="s">
        <v>39</v>
      </c>
      <c r="N400" s="6" t="s">
        <v>40</v>
      </c>
      <c r="O400" s="13">
        <f>8125+35</f>
        <v>8160</v>
      </c>
      <c r="P400" s="6" t="s">
        <v>41</v>
      </c>
      <c r="Q400" s="19">
        <f t="shared" si="16"/>
        <v>0.14836363636363636</v>
      </c>
      <c r="R400" s="7">
        <v>45620</v>
      </c>
      <c r="S400" s="41" t="s">
        <v>65</v>
      </c>
      <c r="T400" s="7">
        <v>45634</v>
      </c>
      <c r="U400" s="67" t="s">
        <v>178</v>
      </c>
      <c r="V400" s="7" t="s">
        <v>1101</v>
      </c>
      <c r="W400" s="10" t="s">
        <v>334</v>
      </c>
      <c r="X400" s="224">
        <v>66420</v>
      </c>
      <c r="Y400" s="11" t="s">
        <v>68</v>
      </c>
      <c r="Z400" s="171"/>
      <c r="AA400" s="64">
        <v>45632</v>
      </c>
      <c r="AB400" s="64">
        <v>45635</v>
      </c>
      <c r="AC400" s="7">
        <v>45634</v>
      </c>
      <c r="AD400" s="3"/>
      <c r="AE400" s="71">
        <v>45627</v>
      </c>
    </row>
    <row r="401" spans="1:51" s="15" customFormat="1" ht="18.75" hidden="1" customHeight="1" x14ac:dyDescent="0.25">
      <c r="A401" s="16" t="s">
        <v>140</v>
      </c>
      <c r="B401" s="6">
        <v>27710</v>
      </c>
      <c r="C401" s="5">
        <v>45360</v>
      </c>
      <c r="D401" s="6" t="s">
        <v>105</v>
      </c>
      <c r="E401" s="6" t="s">
        <v>141</v>
      </c>
      <c r="F401" s="6" t="s">
        <v>1107</v>
      </c>
      <c r="G401" s="6" t="s">
        <v>36</v>
      </c>
      <c r="H401" s="4" t="s">
        <v>37</v>
      </c>
      <c r="I401" s="4" t="s">
        <v>143</v>
      </c>
      <c r="J401" s="4" t="s">
        <v>144</v>
      </c>
      <c r="K401" s="4"/>
      <c r="L401" s="7">
        <v>45574</v>
      </c>
      <c r="M401" s="7" t="s">
        <v>861</v>
      </c>
      <c r="N401" s="6" t="s">
        <v>40</v>
      </c>
      <c r="O401" s="13">
        <f>2570*1.5+575</f>
        <v>4430</v>
      </c>
      <c r="P401" s="6" t="s">
        <v>80</v>
      </c>
      <c r="Q401" s="19">
        <f t="shared" si="16"/>
        <v>9.7663139329805998E-2</v>
      </c>
      <c r="R401" s="7"/>
      <c r="S401" s="41"/>
      <c r="T401" s="7">
        <v>45618</v>
      </c>
      <c r="U401" s="67" t="s">
        <v>43</v>
      </c>
      <c r="V401" s="7" t="s">
        <v>1101</v>
      </c>
      <c r="W401" s="10" t="s">
        <v>503</v>
      </c>
      <c r="X401" s="224">
        <v>68250</v>
      </c>
      <c r="Y401" s="47" t="s">
        <v>341</v>
      </c>
      <c r="Z401" s="195"/>
      <c r="AA401" s="351"/>
      <c r="AB401" s="64">
        <v>45636</v>
      </c>
      <c r="AC401" s="64">
        <v>45614</v>
      </c>
      <c r="AD401" s="38"/>
      <c r="AE401" s="263">
        <v>45640</v>
      </c>
    </row>
    <row r="402" spans="1:51" s="30" customFormat="1" ht="18" hidden="1" customHeight="1" x14ac:dyDescent="0.25">
      <c r="A402" s="425" t="s">
        <v>948</v>
      </c>
      <c r="B402" s="4">
        <v>27782</v>
      </c>
      <c r="C402" s="426">
        <v>58000</v>
      </c>
      <c r="D402" s="169" t="s">
        <v>48</v>
      </c>
      <c r="E402" s="4" t="s">
        <v>190</v>
      </c>
      <c r="F402" s="4" t="s">
        <v>1108</v>
      </c>
      <c r="G402" s="4" t="s">
        <v>602</v>
      </c>
      <c r="H402" s="4" t="s">
        <v>109</v>
      </c>
      <c r="I402" s="4" t="s">
        <v>52</v>
      </c>
      <c r="J402" s="4" t="s">
        <v>75</v>
      </c>
      <c r="K402" s="4"/>
      <c r="L402" s="7">
        <v>45586</v>
      </c>
      <c r="M402" s="85"/>
      <c r="N402" s="6" t="s">
        <v>40</v>
      </c>
      <c r="O402" s="13">
        <v>575</v>
      </c>
      <c r="P402" s="6" t="s">
        <v>80</v>
      </c>
      <c r="Q402" s="41">
        <f t="shared" si="16"/>
        <v>9.9137931034482766E-3</v>
      </c>
      <c r="R402" s="7">
        <v>45621</v>
      </c>
      <c r="S402" s="41" t="s">
        <v>65</v>
      </c>
      <c r="T402" s="7">
        <v>45637</v>
      </c>
      <c r="U402" s="46" t="s">
        <v>76</v>
      </c>
      <c r="V402" s="7" t="s">
        <v>1101</v>
      </c>
      <c r="W402" s="10" t="s">
        <v>334</v>
      </c>
      <c r="X402" s="236">
        <f>50065-10013</f>
        <v>40052</v>
      </c>
      <c r="Y402" s="11" t="s">
        <v>341</v>
      </c>
      <c r="Z402" s="11"/>
      <c r="AA402" s="78"/>
      <c r="AB402" s="7">
        <v>45637</v>
      </c>
      <c r="AC402" s="7">
        <v>45637</v>
      </c>
      <c r="AD402" s="38"/>
      <c r="AE402" s="71">
        <v>45646</v>
      </c>
      <c r="AF402" s="15"/>
      <c r="AG402" s="15"/>
      <c r="AH402" s="15"/>
      <c r="AI402" s="15"/>
      <c r="AJ402" s="15"/>
      <c r="AK402" s="15"/>
      <c r="AL402" s="15"/>
      <c r="AM402" s="15"/>
      <c r="AN402" s="15"/>
      <c r="AO402" s="15"/>
      <c r="AP402" s="15"/>
      <c r="AQ402" s="15"/>
      <c r="AR402" s="15"/>
      <c r="AS402" s="15"/>
      <c r="AT402" s="15"/>
      <c r="AU402" s="15"/>
      <c r="AV402" s="15"/>
      <c r="AW402" s="15"/>
      <c r="AX402" s="15"/>
      <c r="AY402" s="15"/>
    </row>
    <row r="403" spans="1:51" s="30" customFormat="1" ht="18" hidden="1" x14ac:dyDescent="0.25">
      <c r="A403" s="109" t="s">
        <v>932</v>
      </c>
      <c r="B403" s="22">
        <v>27862</v>
      </c>
      <c r="C403" s="246">
        <v>40250</v>
      </c>
      <c r="D403" s="256" t="s">
        <v>249</v>
      </c>
      <c r="E403" s="22" t="s">
        <v>1109</v>
      </c>
      <c r="F403" s="22"/>
      <c r="G403" s="22"/>
      <c r="H403" s="22" t="s">
        <v>164</v>
      </c>
      <c r="I403" s="22" t="s">
        <v>729</v>
      </c>
      <c r="J403" s="22" t="s">
        <v>62</v>
      </c>
      <c r="K403" s="22"/>
      <c r="L403" s="25">
        <v>45632</v>
      </c>
      <c r="M403" s="25"/>
      <c r="N403" s="22" t="s">
        <v>103</v>
      </c>
      <c r="O403" s="26">
        <v>6300</v>
      </c>
      <c r="P403" s="22" t="s">
        <v>80</v>
      </c>
      <c r="Q403" s="259">
        <f t="shared" si="16"/>
        <v>0.15652173913043479</v>
      </c>
      <c r="R403" s="217"/>
      <c r="S403" s="27"/>
      <c r="T403" s="24"/>
      <c r="U403" s="245" t="s">
        <v>66</v>
      </c>
      <c r="V403" s="25" t="s">
        <v>1101</v>
      </c>
      <c r="W403" s="424" t="s">
        <v>45</v>
      </c>
      <c r="X403" s="248">
        <v>104650</v>
      </c>
      <c r="Y403" s="24" t="s">
        <v>215</v>
      </c>
      <c r="Z403" s="24"/>
      <c r="AA403" s="78"/>
      <c r="AB403" s="351"/>
      <c r="AC403" s="7">
        <v>45636</v>
      </c>
      <c r="AD403" s="38" t="s">
        <v>1110</v>
      </c>
      <c r="AE403" s="71">
        <v>45653</v>
      </c>
      <c r="AF403" s="15"/>
      <c r="AG403" s="15"/>
      <c r="AH403" s="15"/>
      <c r="AI403" s="15"/>
      <c r="AJ403" s="15"/>
      <c r="AK403" s="15"/>
      <c r="AL403" s="15"/>
      <c r="AM403" s="15"/>
      <c r="AN403" s="15"/>
      <c r="AO403" s="15"/>
      <c r="AP403" s="15"/>
      <c r="AQ403" s="15"/>
      <c r="AR403" s="15"/>
      <c r="AS403" s="15"/>
      <c r="AT403" s="15"/>
      <c r="AU403" s="15"/>
      <c r="AV403" s="15"/>
      <c r="AW403" s="15"/>
      <c r="AX403" s="15"/>
      <c r="AY403" s="15"/>
    </row>
    <row r="404" spans="1:51" s="30" customFormat="1" ht="18" hidden="1" x14ac:dyDescent="0.25">
      <c r="A404" s="109" t="s">
        <v>1111</v>
      </c>
      <c r="B404" s="22">
        <v>27824</v>
      </c>
      <c r="C404" s="23">
        <v>39900</v>
      </c>
      <c r="D404" s="22" t="s">
        <v>249</v>
      </c>
      <c r="E404" s="22" t="s">
        <v>699</v>
      </c>
      <c r="F404" s="22"/>
      <c r="G404" s="22"/>
      <c r="H404" s="22" t="s">
        <v>37</v>
      </c>
      <c r="I404" s="22" t="s">
        <v>931</v>
      </c>
      <c r="J404" s="22" t="s">
        <v>62</v>
      </c>
      <c r="K404" s="22"/>
      <c r="L404" s="25">
        <v>45632</v>
      </c>
      <c r="M404" s="25"/>
      <c r="N404" s="22" t="s">
        <v>103</v>
      </c>
      <c r="O404" s="26">
        <v>6300</v>
      </c>
      <c r="P404" s="22" t="s">
        <v>80</v>
      </c>
      <c r="Q404" s="259">
        <f t="shared" si="16"/>
        <v>0.15789473684210525</v>
      </c>
      <c r="R404" s="244"/>
      <c r="S404" s="315"/>
      <c r="T404" s="55"/>
      <c r="U404" s="245" t="s">
        <v>66</v>
      </c>
      <c r="V404" s="25" t="s">
        <v>1101</v>
      </c>
      <c r="W404" s="424" t="s">
        <v>45</v>
      </c>
      <c r="X404" s="29">
        <v>108727.5</v>
      </c>
      <c r="Y404" s="24" t="s">
        <v>215</v>
      </c>
      <c r="Z404" s="24"/>
      <c r="AA404" s="78"/>
      <c r="AB404" s="351"/>
      <c r="AC404" s="7">
        <v>45636</v>
      </c>
      <c r="AD404" s="38"/>
      <c r="AE404" s="71">
        <v>45653</v>
      </c>
      <c r="AF404" s="15"/>
      <c r="AG404" s="15"/>
      <c r="AH404" s="15"/>
      <c r="AI404" s="15"/>
      <c r="AJ404" s="15"/>
      <c r="AK404" s="15"/>
      <c r="AL404" s="15"/>
      <c r="AM404" s="15"/>
      <c r="AN404" s="15"/>
      <c r="AO404" s="15"/>
      <c r="AP404" s="15"/>
      <c r="AQ404" s="15"/>
      <c r="AR404" s="15"/>
      <c r="AS404" s="15"/>
      <c r="AT404" s="15"/>
      <c r="AU404" s="15"/>
      <c r="AV404" s="15"/>
      <c r="AW404" s="15"/>
      <c r="AX404" s="15"/>
      <c r="AY404" s="15"/>
    </row>
    <row r="405" spans="1:51" s="30" customFormat="1" ht="18.75" hidden="1" thickBot="1" x14ac:dyDescent="0.3">
      <c r="A405" s="209" t="s">
        <v>104</v>
      </c>
      <c r="B405" s="6">
        <v>27637</v>
      </c>
      <c r="C405" s="168">
        <v>55000</v>
      </c>
      <c r="D405" s="167" t="s">
        <v>48</v>
      </c>
      <c r="E405" s="6" t="s">
        <v>1112</v>
      </c>
      <c r="F405" s="6" t="s">
        <v>1113</v>
      </c>
      <c r="G405" s="6" t="s">
        <v>108</v>
      </c>
      <c r="H405" s="167" t="s">
        <v>109</v>
      </c>
      <c r="I405" s="159" t="s">
        <v>52</v>
      </c>
      <c r="J405" s="6" t="s">
        <v>473</v>
      </c>
      <c r="K405" s="167"/>
      <c r="L405" s="313">
        <v>45587</v>
      </c>
      <c r="M405" s="7"/>
      <c r="N405" s="6" t="s">
        <v>40</v>
      </c>
      <c r="O405" s="13">
        <v>575</v>
      </c>
      <c r="P405" s="6" t="s">
        <v>80</v>
      </c>
      <c r="Q405" s="41">
        <f t="shared" si="16"/>
        <v>1.0454545454545454E-2</v>
      </c>
      <c r="R405" s="219"/>
      <c r="S405" s="178"/>
      <c r="T405" s="7">
        <v>45637</v>
      </c>
      <c r="U405" s="46" t="s">
        <v>43</v>
      </c>
      <c r="V405" s="7" t="s">
        <v>1114</v>
      </c>
      <c r="W405" s="10" t="s">
        <v>45</v>
      </c>
      <c r="X405" s="236">
        <v>62935</v>
      </c>
      <c r="Y405" s="11" t="s">
        <v>341</v>
      </c>
      <c r="Z405" s="11"/>
      <c r="AA405" s="78"/>
      <c r="AB405" s="7">
        <v>45639</v>
      </c>
      <c r="AC405" s="7">
        <v>45638</v>
      </c>
      <c r="AD405" s="242"/>
      <c r="AE405" s="71">
        <v>45646</v>
      </c>
      <c r="AF405" s="15"/>
      <c r="AG405" s="15"/>
      <c r="AH405" s="15"/>
      <c r="AI405" s="15"/>
      <c r="AJ405" s="15"/>
      <c r="AK405" s="15"/>
      <c r="AL405" s="15"/>
      <c r="AM405" s="15"/>
      <c r="AN405" s="15"/>
      <c r="AO405" s="15"/>
      <c r="AP405" s="15"/>
      <c r="AQ405" s="15"/>
      <c r="AR405" s="15"/>
      <c r="AS405" s="15"/>
      <c r="AT405" s="15"/>
      <c r="AU405" s="15"/>
      <c r="AV405" s="15"/>
      <c r="AW405" s="15"/>
      <c r="AX405" s="15"/>
      <c r="AY405" s="15"/>
    </row>
    <row r="406" spans="1:51" s="15" customFormat="1" ht="18.75" hidden="1" customHeight="1" thickBot="1" x14ac:dyDescent="0.3">
      <c r="A406" s="427" t="s">
        <v>136</v>
      </c>
      <c r="B406" s="167">
        <v>27224</v>
      </c>
      <c r="C406" s="168">
        <v>44800</v>
      </c>
      <c r="D406" s="167" t="s">
        <v>105</v>
      </c>
      <c r="E406" s="167" t="s">
        <v>1084</v>
      </c>
      <c r="F406" s="6" t="s">
        <v>1115</v>
      </c>
      <c r="G406" s="167" t="s">
        <v>36</v>
      </c>
      <c r="H406" s="169" t="s">
        <v>37</v>
      </c>
      <c r="I406" s="169" t="s">
        <v>1116</v>
      </c>
      <c r="J406" s="169" t="s">
        <v>98</v>
      </c>
      <c r="K406" s="169"/>
      <c r="L406" s="313">
        <v>45582</v>
      </c>
      <c r="M406" s="64" t="s">
        <v>39</v>
      </c>
      <c r="N406" s="6" t="s">
        <v>40</v>
      </c>
      <c r="O406" s="177">
        <f>3465</f>
        <v>3465</v>
      </c>
      <c r="P406" s="6" t="s">
        <v>41</v>
      </c>
      <c r="Q406" s="19">
        <f t="shared" si="16"/>
        <v>7.7343750000000003E-2</v>
      </c>
      <c r="R406" s="415"/>
      <c r="S406" s="156"/>
      <c r="T406" s="7">
        <v>45636</v>
      </c>
      <c r="U406" s="67" t="s">
        <v>43</v>
      </c>
      <c r="V406" s="7" t="s">
        <v>1114</v>
      </c>
      <c r="W406" s="10" t="s">
        <v>334</v>
      </c>
      <c r="X406" s="236">
        <v>94000</v>
      </c>
      <c r="Y406" s="171" t="s">
        <v>68</v>
      </c>
      <c r="Z406" s="171"/>
      <c r="AA406" s="7">
        <v>45642</v>
      </c>
      <c r="AB406" s="64">
        <v>45642</v>
      </c>
      <c r="AC406" s="64">
        <v>45639</v>
      </c>
      <c r="AD406" s="38"/>
      <c r="AE406" s="263">
        <v>45643</v>
      </c>
    </row>
    <row r="407" spans="1:51" s="15" customFormat="1" ht="18" hidden="1" customHeight="1" x14ac:dyDescent="0.25">
      <c r="A407" s="113" t="s">
        <v>506</v>
      </c>
      <c r="B407" s="6">
        <v>25861</v>
      </c>
      <c r="C407" s="5">
        <v>55000</v>
      </c>
      <c r="D407" s="6" t="s">
        <v>48</v>
      </c>
      <c r="E407" s="6" t="s">
        <v>1117</v>
      </c>
      <c r="F407" s="6" t="s">
        <v>1118</v>
      </c>
      <c r="G407" s="6" t="s">
        <v>36</v>
      </c>
      <c r="H407" s="4" t="s">
        <v>37</v>
      </c>
      <c r="I407" s="4" t="s">
        <v>412</v>
      </c>
      <c r="J407" s="4" t="s">
        <v>413</v>
      </c>
      <c r="K407" s="4"/>
      <c r="L407" s="7">
        <v>45525</v>
      </c>
      <c r="M407" s="7" t="s">
        <v>39</v>
      </c>
      <c r="N407" s="6" t="s">
        <v>40</v>
      </c>
      <c r="O407" s="13">
        <v>9285</v>
      </c>
      <c r="P407" s="6" t="s">
        <v>41</v>
      </c>
      <c r="Q407" s="19">
        <f t="shared" si="16"/>
        <v>0.16881818181818181</v>
      </c>
      <c r="R407" s="7">
        <v>45603</v>
      </c>
      <c r="S407" s="41" t="s">
        <v>121</v>
      </c>
      <c r="T407" s="7">
        <v>45638</v>
      </c>
      <c r="U407" s="146" t="s">
        <v>43</v>
      </c>
      <c r="V407" s="7" t="s">
        <v>1114</v>
      </c>
      <c r="W407" s="10" t="s">
        <v>45</v>
      </c>
      <c r="X407" s="236">
        <v>44280</v>
      </c>
      <c r="Y407" s="47" t="s">
        <v>68</v>
      </c>
      <c r="Z407" s="195"/>
      <c r="AA407" s="64">
        <v>45642</v>
      </c>
      <c r="AB407" s="64">
        <v>45642</v>
      </c>
      <c r="AC407" s="65">
        <v>45638</v>
      </c>
      <c r="AD407" s="48"/>
      <c r="AE407" s="71">
        <v>45627</v>
      </c>
    </row>
    <row r="408" spans="1:51" s="15" customFormat="1" ht="18.75" hidden="1" thickBot="1" x14ac:dyDescent="0.3">
      <c r="A408" s="120" t="s">
        <v>506</v>
      </c>
      <c r="B408" s="6">
        <v>26660</v>
      </c>
      <c r="C408" s="5">
        <v>55000</v>
      </c>
      <c r="D408" s="6" t="s">
        <v>33</v>
      </c>
      <c r="E408" s="6" t="s">
        <v>522</v>
      </c>
      <c r="F408" s="6" t="s">
        <v>1119</v>
      </c>
      <c r="G408" s="159" t="s">
        <v>1104</v>
      </c>
      <c r="H408" s="4" t="s">
        <v>37</v>
      </c>
      <c r="I408" s="4" t="s">
        <v>412</v>
      </c>
      <c r="J408" s="4" t="s">
        <v>413</v>
      </c>
      <c r="K408" s="169"/>
      <c r="L408" s="313">
        <v>45569</v>
      </c>
      <c r="M408" s="7" t="s">
        <v>487</v>
      </c>
      <c r="N408" s="6" t="s">
        <v>40</v>
      </c>
      <c r="O408" s="13">
        <f>8125+35</f>
        <v>8160</v>
      </c>
      <c r="P408" s="6" t="s">
        <v>41</v>
      </c>
      <c r="Q408" s="19">
        <f t="shared" si="16"/>
        <v>0.14836363636363636</v>
      </c>
      <c r="R408" s="7">
        <v>45620</v>
      </c>
      <c r="S408" s="156" t="s">
        <v>65</v>
      </c>
      <c r="T408" s="7">
        <v>45639</v>
      </c>
      <c r="U408" s="67" t="s">
        <v>178</v>
      </c>
      <c r="V408" s="7" t="s">
        <v>1114</v>
      </c>
      <c r="W408" s="10" t="s">
        <v>334</v>
      </c>
      <c r="X408" s="236">
        <v>65340</v>
      </c>
      <c r="Y408" s="11" t="s">
        <v>68</v>
      </c>
      <c r="Z408" s="171"/>
      <c r="AA408" s="64">
        <v>45639</v>
      </c>
      <c r="AB408" s="64">
        <v>45638</v>
      </c>
      <c r="AC408" s="7">
        <v>45640</v>
      </c>
      <c r="AD408" s="38"/>
      <c r="AE408" s="71">
        <v>45627</v>
      </c>
    </row>
    <row r="409" spans="1:51" s="30" customFormat="1" ht="18" hidden="1" customHeight="1" x14ac:dyDescent="0.25">
      <c r="A409" s="425" t="s">
        <v>1120</v>
      </c>
      <c r="B409" s="4">
        <v>27781</v>
      </c>
      <c r="C409" s="426">
        <v>58000</v>
      </c>
      <c r="D409" s="169" t="s">
        <v>48</v>
      </c>
      <c r="E409" s="4" t="s">
        <v>229</v>
      </c>
      <c r="F409" s="4" t="s">
        <v>1121</v>
      </c>
      <c r="G409" s="4" t="s">
        <v>602</v>
      </c>
      <c r="H409" s="4" t="s">
        <v>109</v>
      </c>
      <c r="I409" s="4" t="s">
        <v>52</v>
      </c>
      <c r="J409" s="4" t="s">
        <v>75</v>
      </c>
      <c r="K409" s="4"/>
      <c r="L409" s="7">
        <v>45599</v>
      </c>
      <c r="M409" s="85"/>
      <c r="N409" s="6" t="s">
        <v>40</v>
      </c>
      <c r="O409" s="428">
        <v>575</v>
      </c>
      <c r="P409" s="4" t="s">
        <v>80</v>
      </c>
      <c r="Q409" s="19">
        <f t="shared" si="16"/>
        <v>9.9137931034482766E-3</v>
      </c>
      <c r="R409" s="7">
        <v>45628</v>
      </c>
      <c r="S409" s="19" t="s">
        <v>65</v>
      </c>
      <c r="T409" s="7">
        <v>45643</v>
      </c>
      <c r="U409" s="429" t="s">
        <v>76</v>
      </c>
      <c r="V409" s="7" t="s">
        <v>1114</v>
      </c>
      <c r="W409" s="10" t="s">
        <v>334</v>
      </c>
      <c r="X409" s="236">
        <f>59287-11857.4</f>
        <v>47429.599999999999</v>
      </c>
      <c r="Y409" s="11" t="s">
        <v>46</v>
      </c>
      <c r="Z409" s="11"/>
      <c r="AA409" s="78"/>
      <c r="AB409" s="71">
        <v>45643</v>
      </c>
      <c r="AC409" s="71">
        <v>45643</v>
      </c>
      <c r="AD409" s="38"/>
      <c r="AE409" s="71">
        <v>45646</v>
      </c>
      <c r="AF409" s="15"/>
      <c r="AG409" s="15"/>
      <c r="AH409" s="15"/>
      <c r="AI409" s="15"/>
      <c r="AJ409" s="15"/>
      <c r="AK409" s="15"/>
      <c r="AL409" s="15"/>
      <c r="AM409" s="15"/>
      <c r="AN409" s="15"/>
      <c r="AO409" s="15"/>
      <c r="AP409" s="15"/>
      <c r="AQ409" s="15"/>
      <c r="AR409" s="15"/>
      <c r="AS409" s="15"/>
      <c r="AT409" s="15"/>
      <c r="AU409" s="15"/>
      <c r="AV409" s="15"/>
      <c r="AW409" s="15"/>
      <c r="AX409" s="15"/>
      <c r="AY409" s="15"/>
    </row>
    <row r="410" spans="1:51" s="15" customFormat="1" ht="18" hidden="1" customHeight="1" thickBot="1" x14ac:dyDescent="0.3">
      <c r="A410" s="209" t="s">
        <v>470</v>
      </c>
      <c r="B410" s="6">
        <v>26985</v>
      </c>
      <c r="C410" s="44">
        <v>55000</v>
      </c>
      <c r="D410" s="6" t="s">
        <v>33</v>
      </c>
      <c r="E410" s="6" t="s">
        <v>1006</v>
      </c>
      <c r="F410" s="6" t="s">
        <v>1122</v>
      </c>
      <c r="G410" s="6" t="s">
        <v>108</v>
      </c>
      <c r="H410" s="6" t="s">
        <v>109</v>
      </c>
      <c r="I410" s="6" t="s">
        <v>52</v>
      </c>
      <c r="J410" s="6"/>
      <c r="K410" s="167"/>
      <c r="L410" s="313">
        <v>45576</v>
      </c>
      <c r="M410" s="7"/>
      <c r="N410" s="6" t="s">
        <v>40</v>
      </c>
      <c r="O410" s="13">
        <v>575</v>
      </c>
      <c r="P410" s="6" t="s">
        <v>80</v>
      </c>
      <c r="Q410" s="19">
        <f t="shared" si="16"/>
        <v>1.0454545454545454E-2</v>
      </c>
      <c r="R410" s="65"/>
      <c r="S410" s="41"/>
      <c r="T410" s="65">
        <v>45637</v>
      </c>
      <c r="U410" s="46" t="s">
        <v>43</v>
      </c>
      <c r="V410" s="7" t="s">
        <v>1114</v>
      </c>
      <c r="W410" s="10" t="s">
        <v>45</v>
      </c>
      <c r="X410" s="236">
        <v>59125</v>
      </c>
      <c r="Y410" s="11" t="s">
        <v>68</v>
      </c>
      <c r="Z410" s="11"/>
      <c r="AA410" s="71">
        <v>45643</v>
      </c>
      <c r="AB410" s="64">
        <v>45645</v>
      </c>
      <c r="AC410" s="7">
        <v>45638</v>
      </c>
      <c r="AD410" s="38"/>
      <c r="AE410" s="71">
        <v>45652</v>
      </c>
    </row>
    <row r="411" spans="1:51" s="30" customFormat="1" ht="18" hidden="1" x14ac:dyDescent="0.25">
      <c r="A411" s="21" t="s">
        <v>251</v>
      </c>
      <c r="B411" s="22">
        <v>26651</v>
      </c>
      <c r="C411" s="23">
        <v>40500</v>
      </c>
      <c r="D411" s="22" t="s">
        <v>249</v>
      </c>
      <c r="E411" s="22" t="s">
        <v>421</v>
      </c>
      <c r="F411" s="22"/>
      <c r="G411" s="22"/>
      <c r="H411" s="22" t="s">
        <v>37</v>
      </c>
      <c r="I411" s="22" t="s">
        <v>253</v>
      </c>
      <c r="J411" s="22" t="s">
        <v>62</v>
      </c>
      <c r="K411" s="22"/>
      <c r="L411" s="25">
        <v>45637</v>
      </c>
      <c r="M411" s="25"/>
      <c r="N411" s="22" t="s">
        <v>103</v>
      </c>
      <c r="O411" s="26">
        <v>6300</v>
      </c>
      <c r="P411" s="22" t="s">
        <v>80</v>
      </c>
      <c r="Q411" s="259">
        <f t="shared" si="16"/>
        <v>0.15555555555555556</v>
      </c>
      <c r="R411" s="217"/>
      <c r="S411" s="27"/>
      <c r="T411" s="24"/>
      <c r="U411" s="28" t="s">
        <v>66</v>
      </c>
      <c r="V411" s="25" t="s">
        <v>1114</v>
      </c>
      <c r="W411" s="24" t="s">
        <v>45</v>
      </c>
      <c r="X411" s="29">
        <v>96375</v>
      </c>
      <c r="Y411" s="24" t="s">
        <v>215</v>
      </c>
      <c r="Z411" s="24"/>
      <c r="AA411" s="78"/>
      <c r="AB411" s="78"/>
      <c r="AC411" s="7">
        <v>45643</v>
      </c>
      <c r="AD411" s="316" t="s">
        <v>928</v>
      </c>
      <c r="AE411" s="71">
        <v>45653</v>
      </c>
      <c r="AF411" s="15"/>
      <c r="AG411" s="15"/>
      <c r="AH411" s="15"/>
      <c r="AI411" s="15"/>
      <c r="AJ411" s="15"/>
      <c r="AK411" s="15"/>
      <c r="AL411" s="15"/>
      <c r="AM411" s="15"/>
      <c r="AN411" s="15"/>
      <c r="AO411" s="15"/>
      <c r="AP411" s="15"/>
      <c r="AQ411" s="15"/>
      <c r="AR411" s="15"/>
      <c r="AS411" s="15"/>
      <c r="AT411" s="15"/>
      <c r="AU411" s="15"/>
      <c r="AV411" s="15"/>
      <c r="AW411" s="15"/>
      <c r="AX411" s="15"/>
      <c r="AY411" s="15"/>
    </row>
    <row r="412" spans="1:51" s="15" customFormat="1" ht="18.75" hidden="1" customHeight="1" thickBot="1" x14ac:dyDescent="0.3">
      <c r="A412" s="209" t="s">
        <v>47</v>
      </c>
      <c r="B412" s="6">
        <v>27247</v>
      </c>
      <c r="C412" s="5">
        <v>55000</v>
      </c>
      <c r="D412" s="6" t="s">
        <v>48</v>
      </c>
      <c r="E412" s="6" t="s">
        <v>49</v>
      </c>
      <c r="F412" s="6" t="s">
        <v>1123</v>
      </c>
      <c r="G412" s="167" t="s">
        <v>36</v>
      </c>
      <c r="H412" s="6" t="s">
        <v>51</v>
      </c>
      <c r="I412" s="6" t="s">
        <v>52</v>
      </c>
      <c r="J412" s="4" t="s">
        <v>479</v>
      </c>
      <c r="K412" s="169"/>
      <c r="L412" s="313">
        <v>45591</v>
      </c>
      <c r="M412" s="7"/>
      <c r="N412" s="6" t="s">
        <v>40</v>
      </c>
      <c r="O412" s="13">
        <v>575</v>
      </c>
      <c r="P412" s="6" t="s">
        <v>80</v>
      </c>
      <c r="Q412" s="19">
        <f t="shared" si="16"/>
        <v>1.0454545454545454E-2</v>
      </c>
      <c r="R412" s="219"/>
      <c r="S412" s="36"/>
      <c r="T412" s="7">
        <v>45644</v>
      </c>
      <c r="U412" s="17" t="s">
        <v>43</v>
      </c>
      <c r="V412" s="7" t="s">
        <v>1114</v>
      </c>
      <c r="W412" s="10" t="s">
        <v>67</v>
      </c>
      <c r="X412" s="236">
        <v>26718</v>
      </c>
      <c r="Y412" s="11" t="s">
        <v>46</v>
      </c>
      <c r="Z412" s="171"/>
      <c r="AA412" s="351"/>
      <c r="AB412" s="71">
        <v>45645</v>
      </c>
      <c r="AC412" s="7">
        <v>45644</v>
      </c>
      <c r="AD412" s="38"/>
      <c r="AE412" s="71">
        <v>45652</v>
      </c>
    </row>
    <row r="413" spans="1:51" s="15" customFormat="1" ht="18.75" hidden="1" thickBot="1" x14ac:dyDescent="0.3">
      <c r="A413" s="209" t="s">
        <v>47</v>
      </c>
      <c r="B413" s="6">
        <v>27248</v>
      </c>
      <c r="C413" s="5">
        <v>55000</v>
      </c>
      <c r="D413" s="6" t="s">
        <v>48</v>
      </c>
      <c r="E413" s="6" t="s">
        <v>49</v>
      </c>
      <c r="F413" s="6" t="s">
        <v>1124</v>
      </c>
      <c r="G413" s="167" t="s">
        <v>36</v>
      </c>
      <c r="H413" s="6" t="s">
        <v>51</v>
      </c>
      <c r="I413" s="6" t="s">
        <v>52</v>
      </c>
      <c r="J413" s="4" t="s">
        <v>479</v>
      </c>
      <c r="K413" s="169"/>
      <c r="L413" s="313">
        <v>45591</v>
      </c>
      <c r="M413" s="7"/>
      <c r="N413" s="6" t="s">
        <v>40</v>
      </c>
      <c r="O413" s="13">
        <v>575</v>
      </c>
      <c r="P413" s="6" t="s">
        <v>80</v>
      </c>
      <c r="Q413" s="19">
        <f t="shared" si="16"/>
        <v>1.0454545454545454E-2</v>
      </c>
      <c r="R413" s="219"/>
      <c r="S413" s="36"/>
      <c r="T413" s="7">
        <v>45644</v>
      </c>
      <c r="U413" s="17" t="s">
        <v>43</v>
      </c>
      <c r="V413" s="7" t="s">
        <v>1114</v>
      </c>
      <c r="W413" s="10" t="s">
        <v>67</v>
      </c>
      <c r="X413" s="236">
        <v>26718</v>
      </c>
      <c r="Y413" s="11" t="s">
        <v>46</v>
      </c>
      <c r="Z413" s="171"/>
      <c r="AA413" s="351"/>
      <c r="AB413" s="71">
        <v>45645</v>
      </c>
      <c r="AC413" s="7">
        <v>45644</v>
      </c>
      <c r="AD413" s="38"/>
      <c r="AE413" s="71">
        <v>45652</v>
      </c>
    </row>
    <row r="414" spans="1:51" s="15" customFormat="1" ht="18" hidden="1" customHeight="1" x14ac:dyDescent="0.25">
      <c r="A414" s="113" t="s">
        <v>279</v>
      </c>
      <c r="B414" s="6">
        <v>27023</v>
      </c>
      <c r="C414" s="5">
        <v>40000</v>
      </c>
      <c r="D414" s="6" t="s">
        <v>105</v>
      </c>
      <c r="E414" s="6" t="s">
        <v>1125</v>
      </c>
      <c r="F414" s="6" t="s">
        <v>1126</v>
      </c>
      <c r="G414" s="6" t="s">
        <v>36</v>
      </c>
      <c r="H414" s="4" t="s">
        <v>37</v>
      </c>
      <c r="I414" s="4" t="s">
        <v>281</v>
      </c>
      <c r="J414" s="4" t="s">
        <v>120</v>
      </c>
      <c r="K414" s="4"/>
      <c r="L414" s="7">
        <v>45543</v>
      </c>
      <c r="M414" s="7" t="s">
        <v>487</v>
      </c>
      <c r="N414" s="6" t="s">
        <v>40</v>
      </c>
      <c r="O414" s="13">
        <f>6655+750</f>
        <v>7405</v>
      </c>
      <c r="P414" s="6" t="s">
        <v>41</v>
      </c>
      <c r="Q414" s="19">
        <f t="shared" si="16"/>
        <v>0.18512500000000001</v>
      </c>
      <c r="R414" s="7">
        <v>45603</v>
      </c>
      <c r="S414" s="156" t="s">
        <v>121</v>
      </c>
      <c r="T414" s="7">
        <v>45644</v>
      </c>
      <c r="U414" s="67" t="s">
        <v>43</v>
      </c>
      <c r="V414" s="7" t="s">
        <v>1114</v>
      </c>
      <c r="W414" s="10" t="s">
        <v>334</v>
      </c>
      <c r="X414" s="224">
        <v>52800</v>
      </c>
      <c r="Y414" s="11" t="s">
        <v>68</v>
      </c>
      <c r="Z414" s="171"/>
      <c r="AA414" s="64">
        <v>45622</v>
      </c>
      <c r="AB414" s="64">
        <v>45636</v>
      </c>
      <c r="AC414" s="64">
        <v>45643</v>
      </c>
      <c r="AD414" s="38"/>
      <c r="AE414" s="71">
        <v>45627</v>
      </c>
    </row>
    <row r="415" spans="1:51" s="3" customFormat="1" ht="18.75" hidden="1" thickBot="1" x14ac:dyDescent="0.3">
      <c r="A415" s="425" t="s">
        <v>1127</v>
      </c>
      <c r="B415" s="4">
        <v>26181</v>
      </c>
      <c r="C415" s="5">
        <v>55000</v>
      </c>
      <c r="D415" s="6" t="s">
        <v>48</v>
      </c>
      <c r="E415" s="254" t="s">
        <v>227</v>
      </c>
      <c r="F415" s="6" t="s">
        <v>1128</v>
      </c>
      <c r="G415" s="6" t="s">
        <v>345</v>
      </c>
      <c r="H415" s="159" t="s">
        <v>37</v>
      </c>
      <c r="I415" s="159" t="s">
        <v>281</v>
      </c>
      <c r="J415" s="159" t="s">
        <v>120</v>
      </c>
      <c r="K415" s="598"/>
      <c r="L415" s="313">
        <v>45569</v>
      </c>
      <c r="M415" s="7" t="s">
        <v>99</v>
      </c>
      <c r="N415" s="6" t="s">
        <v>40</v>
      </c>
      <c r="O415" s="13">
        <f>6705</f>
        <v>6705</v>
      </c>
      <c r="P415" s="6" t="s">
        <v>80</v>
      </c>
      <c r="Q415" s="19">
        <f t="shared" si="16"/>
        <v>0.12190909090909091</v>
      </c>
      <c r="R415" s="7">
        <v>45622</v>
      </c>
      <c r="S415" s="156" t="s">
        <v>65</v>
      </c>
      <c r="T415" s="7">
        <v>45645</v>
      </c>
      <c r="U415" s="46" t="s">
        <v>76</v>
      </c>
      <c r="V415" s="7" t="s">
        <v>1114</v>
      </c>
      <c r="W415" s="10" t="s">
        <v>503</v>
      </c>
      <c r="X415" s="236">
        <f>137500-13750</f>
        <v>123750</v>
      </c>
      <c r="Y415" s="11" t="s">
        <v>46</v>
      </c>
      <c r="Z415" s="171"/>
      <c r="AA415" s="351"/>
      <c r="AB415" s="64">
        <v>45643</v>
      </c>
      <c r="AC415" s="71">
        <v>45645</v>
      </c>
      <c r="AE415" s="71">
        <v>45639</v>
      </c>
      <c r="AF415" s="430"/>
      <c r="AG415" s="431"/>
      <c r="AH415" s="208"/>
      <c r="AI415" s="208"/>
      <c r="AJ415" s="208"/>
      <c r="AK415" s="208"/>
      <c r="AL415" s="208"/>
      <c r="AM415" s="208"/>
      <c r="AN415" s="208"/>
      <c r="AO415" s="208"/>
      <c r="AP415" s="208"/>
      <c r="AQ415" s="208"/>
      <c r="AR415" s="208"/>
      <c r="AS415" s="208"/>
      <c r="AT415" s="208"/>
    </row>
    <row r="416" spans="1:51" s="30" customFormat="1" ht="18" hidden="1" x14ac:dyDescent="0.25">
      <c r="A416" s="109" t="s">
        <v>1031</v>
      </c>
      <c r="B416" s="22">
        <v>27319</v>
      </c>
      <c r="C416" s="246">
        <v>40000</v>
      </c>
      <c r="D416" s="256" t="s">
        <v>249</v>
      </c>
      <c r="E416" s="22" t="s">
        <v>359</v>
      </c>
      <c r="F416" s="22"/>
      <c r="G416" s="22"/>
      <c r="H416" s="22" t="s">
        <v>164</v>
      </c>
      <c r="I416" s="22" t="s">
        <v>1033</v>
      </c>
      <c r="J416" s="22" t="s">
        <v>62</v>
      </c>
      <c r="K416" s="22"/>
      <c r="L416" s="255">
        <v>45642</v>
      </c>
      <c r="M416" s="25"/>
      <c r="N416" s="22" t="s">
        <v>441</v>
      </c>
      <c r="O416" s="247">
        <v>7250</v>
      </c>
      <c r="P416" s="22" t="s">
        <v>80</v>
      </c>
      <c r="Q416" s="259">
        <f t="shared" si="16"/>
        <v>0.18124999999999999</v>
      </c>
      <c r="R416" s="217"/>
      <c r="S416" s="27"/>
      <c r="T416" s="24"/>
      <c r="U416" s="245" t="s">
        <v>66</v>
      </c>
      <c r="V416" s="25">
        <v>45649</v>
      </c>
      <c r="W416" s="24" t="s">
        <v>45</v>
      </c>
      <c r="X416" s="248">
        <v>115200</v>
      </c>
      <c r="Y416" s="24" t="s">
        <v>215</v>
      </c>
      <c r="Z416" s="24"/>
      <c r="AA416" s="78"/>
      <c r="AB416" s="78"/>
      <c r="AC416" s="7">
        <v>45646</v>
      </c>
      <c r="AD416" s="38"/>
      <c r="AE416" s="71">
        <v>45649</v>
      </c>
      <c r="AF416" s="15"/>
      <c r="AG416" s="15"/>
      <c r="AH416" s="15"/>
      <c r="AI416" s="15"/>
      <c r="AJ416" s="15"/>
      <c r="AK416" s="15"/>
      <c r="AL416" s="15"/>
      <c r="AM416" s="15"/>
      <c r="AN416" s="15"/>
      <c r="AO416" s="15"/>
      <c r="AP416" s="15"/>
      <c r="AQ416" s="15"/>
      <c r="AR416" s="15"/>
      <c r="AS416" s="15"/>
      <c r="AT416" s="15"/>
      <c r="AU416" s="15"/>
      <c r="AV416" s="15"/>
      <c r="AW416" s="15"/>
      <c r="AX416" s="15"/>
      <c r="AY416" s="15"/>
    </row>
    <row r="417" spans="1:51" s="30" customFormat="1" ht="19.899999999999999" hidden="1" customHeight="1" x14ac:dyDescent="0.25">
      <c r="A417" s="21" t="s">
        <v>259</v>
      </c>
      <c r="B417" s="22">
        <v>24560</v>
      </c>
      <c r="C417" s="23">
        <v>40500</v>
      </c>
      <c r="D417" s="22" t="s">
        <v>249</v>
      </c>
      <c r="E417" s="22" t="s">
        <v>260</v>
      </c>
      <c r="F417" s="22"/>
      <c r="G417" s="22"/>
      <c r="H417" s="22" t="s">
        <v>37</v>
      </c>
      <c r="I417" s="22" t="s">
        <v>261</v>
      </c>
      <c r="J417" s="22" t="s">
        <v>53</v>
      </c>
      <c r="K417" s="22"/>
      <c r="L417" s="255">
        <v>45649</v>
      </c>
      <c r="M417" s="25"/>
      <c r="N417" s="22"/>
      <c r="O417" s="26"/>
      <c r="P417" s="22"/>
      <c r="Q417" s="27"/>
      <c r="R417" s="217"/>
      <c r="S417" s="27"/>
      <c r="T417" s="24"/>
      <c r="U417" s="28" t="s">
        <v>66</v>
      </c>
      <c r="V417" s="25">
        <v>45649</v>
      </c>
      <c r="W417" s="24" t="s">
        <v>45</v>
      </c>
      <c r="X417" s="29">
        <v>55485</v>
      </c>
      <c r="Y417" s="24" t="s">
        <v>215</v>
      </c>
      <c r="Z417" s="261"/>
      <c r="AA417" s="351"/>
      <c r="AB417" s="351"/>
      <c r="AC417" s="351"/>
      <c r="AD417" s="38"/>
      <c r="AE417" s="71" t="s">
        <v>378</v>
      </c>
      <c r="AF417" s="15"/>
      <c r="AG417" s="15"/>
      <c r="AH417" s="15"/>
      <c r="AI417" s="15"/>
      <c r="AJ417" s="15"/>
      <c r="AK417" s="15"/>
      <c r="AL417" s="15"/>
      <c r="AM417" s="15"/>
      <c r="AN417" s="15"/>
      <c r="AO417" s="15"/>
      <c r="AP417" s="15"/>
      <c r="AQ417" s="15"/>
      <c r="AR417" s="15"/>
      <c r="AS417" s="15"/>
      <c r="AT417" s="15"/>
      <c r="AU417" s="15"/>
      <c r="AV417" s="15"/>
      <c r="AW417" s="15"/>
      <c r="AX417" s="15"/>
      <c r="AY417" s="15"/>
    </row>
    <row r="418" spans="1:51" s="30" customFormat="1" ht="18" hidden="1" x14ac:dyDescent="0.25">
      <c r="A418" s="16" t="s">
        <v>1129</v>
      </c>
      <c r="B418" s="6">
        <v>27133</v>
      </c>
      <c r="C418" s="5">
        <v>55000</v>
      </c>
      <c r="D418" s="6" t="s">
        <v>48</v>
      </c>
      <c r="E418" s="6" t="s">
        <v>1130</v>
      </c>
      <c r="F418" s="6" t="s">
        <v>1131</v>
      </c>
      <c r="G418" s="6" t="s">
        <v>36</v>
      </c>
      <c r="H418" s="6" t="s">
        <v>164</v>
      </c>
      <c r="I418" s="6" t="s">
        <v>281</v>
      </c>
      <c r="J418" s="6" t="s">
        <v>120</v>
      </c>
      <c r="K418" s="6"/>
      <c r="L418" s="7">
        <v>45563</v>
      </c>
      <c r="M418" s="7" t="s">
        <v>39</v>
      </c>
      <c r="N418" s="6" t="s">
        <v>40</v>
      </c>
      <c r="O418" s="13">
        <v>8630</v>
      </c>
      <c r="P418" s="6" t="s">
        <v>41</v>
      </c>
      <c r="Q418" s="19">
        <f>+O418/C418</f>
        <v>0.15690909090909091</v>
      </c>
      <c r="R418" s="7">
        <v>45599</v>
      </c>
      <c r="S418" s="41" t="s">
        <v>65</v>
      </c>
      <c r="T418" s="7">
        <v>45642</v>
      </c>
      <c r="U418" s="17" t="s">
        <v>76</v>
      </c>
      <c r="V418" s="7">
        <v>45650</v>
      </c>
      <c r="W418" s="10" t="s">
        <v>334</v>
      </c>
      <c r="X418" s="236">
        <v>179300</v>
      </c>
      <c r="Y418" s="11" t="s">
        <v>46</v>
      </c>
      <c r="Z418" s="11"/>
      <c r="AA418" s="78"/>
      <c r="AB418" s="7">
        <v>45646</v>
      </c>
      <c r="AC418" s="7">
        <v>45645</v>
      </c>
      <c r="AD418" s="242"/>
      <c r="AE418" s="71">
        <v>45627</v>
      </c>
      <c r="AF418" s="15"/>
      <c r="AG418" s="15"/>
      <c r="AH418" s="15"/>
      <c r="AI418" s="15"/>
      <c r="AJ418" s="15"/>
      <c r="AK418" s="15"/>
      <c r="AL418" s="15"/>
      <c r="AM418" s="15"/>
      <c r="AN418" s="15"/>
      <c r="AO418" s="15"/>
      <c r="AP418" s="15"/>
      <c r="AQ418" s="15"/>
      <c r="AR418" s="15"/>
      <c r="AS418" s="15"/>
      <c r="AT418" s="15"/>
      <c r="AU418" s="15"/>
      <c r="AV418" s="15"/>
      <c r="AW418" s="15"/>
      <c r="AX418" s="15"/>
    </row>
    <row r="419" spans="1:51" s="15" customFormat="1" ht="18.75" hidden="1" customHeight="1" x14ac:dyDescent="0.25">
      <c r="A419" s="209" t="s">
        <v>104</v>
      </c>
      <c r="B419" s="6">
        <v>27900</v>
      </c>
      <c r="C419" s="5">
        <v>55000</v>
      </c>
      <c r="D419" s="6" t="s">
        <v>33</v>
      </c>
      <c r="E419" s="6" t="s">
        <v>1006</v>
      </c>
      <c r="F419" s="6" t="s">
        <v>1132</v>
      </c>
      <c r="G419" s="6" t="s">
        <v>108</v>
      </c>
      <c r="H419" s="4" t="s">
        <v>51</v>
      </c>
      <c r="I419" s="4" t="s">
        <v>52</v>
      </c>
      <c r="J419" s="4" t="s">
        <v>473</v>
      </c>
      <c r="K419" s="4"/>
      <c r="L419" s="7">
        <v>45591</v>
      </c>
      <c r="M419" s="7"/>
      <c r="N419" s="6" t="s">
        <v>40</v>
      </c>
      <c r="O419" s="13">
        <v>575</v>
      </c>
      <c r="P419" s="6" t="s">
        <v>80</v>
      </c>
      <c r="Q419" s="19">
        <f>+O419/C419</f>
        <v>1.0454545454545454E-2</v>
      </c>
      <c r="R419" s="219"/>
      <c r="S419" s="41"/>
      <c r="T419" s="7">
        <v>45648</v>
      </c>
      <c r="U419" s="67" t="s">
        <v>43</v>
      </c>
      <c r="V419" s="7">
        <v>45653</v>
      </c>
      <c r="W419" s="10" t="s">
        <v>45</v>
      </c>
      <c r="X419" s="224">
        <v>54879</v>
      </c>
      <c r="Y419" s="11" t="s">
        <v>46</v>
      </c>
      <c r="Z419" s="11"/>
      <c r="AA419" s="78"/>
      <c r="AB419" s="64">
        <v>45643</v>
      </c>
      <c r="AC419" s="7">
        <v>45649</v>
      </c>
      <c r="AD419" s="38"/>
      <c r="AE419" s="71">
        <v>45656</v>
      </c>
    </row>
    <row r="420" spans="1:51" s="15" customFormat="1" ht="18.75" hidden="1" thickBot="1" x14ac:dyDescent="0.3">
      <c r="A420" s="209" t="s">
        <v>203</v>
      </c>
      <c r="B420" s="6">
        <v>27316</v>
      </c>
      <c r="C420" s="5">
        <v>55000</v>
      </c>
      <c r="D420" s="6" t="s">
        <v>48</v>
      </c>
      <c r="E420" s="6" t="s">
        <v>204</v>
      </c>
      <c r="F420" s="6" t="s">
        <v>1133</v>
      </c>
      <c r="G420" s="6" t="s">
        <v>36</v>
      </c>
      <c r="H420" s="6" t="s">
        <v>51</v>
      </c>
      <c r="I420" s="6" t="s">
        <v>52</v>
      </c>
      <c r="J420" s="6"/>
      <c r="K420" s="167"/>
      <c r="L420" s="313">
        <v>45563</v>
      </c>
      <c r="M420" s="7"/>
      <c r="N420" s="6" t="s">
        <v>40</v>
      </c>
      <c r="O420" s="13">
        <v>575</v>
      </c>
      <c r="P420" s="6" t="s">
        <v>80</v>
      </c>
      <c r="Q420" s="19">
        <f>+O420/C420</f>
        <v>1.0454545454545454E-2</v>
      </c>
      <c r="R420" s="219"/>
      <c r="S420" s="36"/>
      <c r="T420" s="7">
        <v>45646</v>
      </c>
      <c r="U420" s="17" t="s">
        <v>43</v>
      </c>
      <c r="V420" s="7">
        <v>45656</v>
      </c>
      <c r="W420" s="10" t="s">
        <v>45</v>
      </c>
      <c r="X420" s="224">
        <v>18025</v>
      </c>
      <c r="Y420" s="11" t="s">
        <v>46</v>
      </c>
      <c r="Z420" s="171"/>
      <c r="AA420" s="351"/>
      <c r="AB420" s="64">
        <v>45646</v>
      </c>
      <c r="AC420" s="64">
        <v>45645</v>
      </c>
      <c r="AD420" s="38"/>
      <c r="AE420" s="71">
        <v>45656</v>
      </c>
    </row>
    <row r="421" spans="1:51" s="30" customFormat="1" ht="18" hidden="1" x14ac:dyDescent="0.25">
      <c r="A421" s="210" t="s">
        <v>1134</v>
      </c>
      <c r="B421" s="31">
        <v>27896</v>
      </c>
      <c r="C421" s="32">
        <v>49500</v>
      </c>
      <c r="D421" s="31" t="s">
        <v>33</v>
      </c>
      <c r="E421" s="31" t="s">
        <v>383</v>
      </c>
      <c r="F421" s="31" t="s">
        <v>1135</v>
      </c>
      <c r="G421" s="31" t="s">
        <v>36</v>
      </c>
      <c r="H421" s="31" t="s">
        <v>109</v>
      </c>
      <c r="I421" s="31" t="s">
        <v>52</v>
      </c>
      <c r="J421" s="33"/>
      <c r="K421" s="33"/>
      <c r="L421" s="102">
        <v>45612</v>
      </c>
      <c r="M421" s="34"/>
      <c r="N421" s="31" t="s">
        <v>40</v>
      </c>
      <c r="O421" s="35"/>
      <c r="P421" s="31"/>
      <c r="Q421" s="258"/>
      <c r="R421" s="34">
        <v>45634</v>
      </c>
      <c r="S421" s="258" t="s">
        <v>65</v>
      </c>
      <c r="T421" s="34">
        <v>46017</v>
      </c>
      <c r="U421" s="100" t="s">
        <v>76</v>
      </c>
      <c r="V421" s="34">
        <v>45656</v>
      </c>
      <c r="W421" s="33" t="s">
        <v>67</v>
      </c>
      <c r="X421" s="432">
        <v>84240</v>
      </c>
      <c r="Y421" s="33" t="s">
        <v>46</v>
      </c>
      <c r="Z421" s="33"/>
      <c r="AA421" s="78"/>
      <c r="AB421" s="7">
        <v>45650</v>
      </c>
      <c r="AC421" s="7">
        <v>45652</v>
      </c>
      <c r="AD421" s="38"/>
      <c r="AE421" s="71">
        <v>45656</v>
      </c>
      <c r="AF421" s="15"/>
      <c r="AG421" s="15"/>
      <c r="AH421" s="15"/>
      <c r="AI421" s="15"/>
      <c r="AJ421" s="15"/>
      <c r="AK421" s="15"/>
      <c r="AL421" s="15"/>
      <c r="AM421" s="15"/>
      <c r="AN421" s="15"/>
      <c r="AO421" s="15"/>
      <c r="AP421" s="15"/>
      <c r="AQ421" s="15"/>
      <c r="AR421" s="15"/>
      <c r="AS421" s="15"/>
      <c r="AT421" s="15"/>
      <c r="AU421" s="15"/>
      <c r="AV421" s="15"/>
      <c r="AW421" s="15"/>
      <c r="AX421" s="15"/>
      <c r="AY421" s="15"/>
    </row>
    <row r="422" spans="1:51" s="30" customFormat="1" ht="24.6" hidden="1" customHeight="1" x14ac:dyDescent="0.25">
      <c r="A422" s="21" t="s">
        <v>1136</v>
      </c>
      <c r="B422" s="22">
        <v>27917</v>
      </c>
      <c r="C422" s="23">
        <v>44792</v>
      </c>
      <c r="D422" s="22" t="s">
        <v>249</v>
      </c>
      <c r="E422" s="22" t="s">
        <v>841</v>
      </c>
      <c r="F422" s="22"/>
      <c r="G422" s="22"/>
      <c r="H422" s="22" t="s">
        <v>60</v>
      </c>
      <c r="I422" s="22" t="s">
        <v>213</v>
      </c>
      <c r="J422" s="24"/>
      <c r="K422" s="24"/>
      <c r="L422" s="25"/>
      <c r="M422" s="25"/>
      <c r="N422" s="22"/>
      <c r="O422" s="26"/>
      <c r="P422" s="22"/>
      <c r="Q422" s="27"/>
      <c r="R422" s="217"/>
      <c r="S422" s="27"/>
      <c r="T422" s="24"/>
      <c r="U422" s="28" t="s">
        <v>66</v>
      </c>
      <c r="V422" s="25">
        <v>45656</v>
      </c>
      <c r="W422" s="24" t="s">
        <v>67</v>
      </c>
      <c r="X422" s="29">
        <v>105710</v>
      </c>
      <c r="Y422" s="24" t="s">
        <v>215</v>
      </c>
      <c r="Z422" s="261"/>
      <c r="AA422" s="351"/>
      <c r="AB422" s="351"/>
      <c r="AC422" s="351"/>
      <c r="AD422" s="38"/>
      <c r="AE422" s="71" t="s">
        <v>378</v>
      </c>
      <c r="AF422" s="15"/>
      <c r="AG422" s="15"/>
      <c r="AH422" s="15"/>
      <c r="AI422" s="15"/>
      <c r="AJ422" s="15"/>
      <c r="AK422" s="15"/>
      <c r="AL422" s="15"/>
      <c r="AM422" s="15"/>
      <c r="AN422" s="15"/>
      <c r="AO422" s="15"/>
      <c r="AP422" s="15"/>
      <c r="AQ422" s="15"/>
      <c r="AR422" s="15"/>
      <c r="AS422" s="15"/>
      <c r="AT422" s="15"/>
      <c r="AU422" s="15"/>
      <c r="AV422" s="15"/>
      <c r="AW422" s="15"/>
      <c r="AX422" s="15"/>
      <c r="AY422" s="15"/>
    </row>
    <row r="423" spans="1:51" s="30" customFormat="1" ht="18" hidden="1" x14ac:dyDescent="0.25">
      <c r="A423" s="210" t="s">
        <v>257</v>
      </c>
      <c r="B423" s="31">
        <v>27895</v>
      </c>
      <c r="C423" s="32">
        <v>44000</v>
      </c>
      <c r="D423" s="31" t="s">
        <v>105</v>
      </c>
      <c r="E423" s="31" t="s">
        <v>512</v>
      </c>
      <c r="F423" s="31" t="s">
        <v>1137</v>
      </c>
      <c r="G423" s="31" t="s">
        <v>36</v>
      </c>
      <c r="H423" s="31" t="s">
        <v>37</v>
      </c>
      <c r="I423" s="31" t="s">
        <v>97</v>
      </c>
      <c r="J423" s="31" t="s">
        <v>98</v>
      </c>
      <c r="K423" s="31"/>
      <c r="L423" s="102">
        <v>45603</v>
      </c>
      <c r="M423" s="34" t="s">
        <v>39</v>
      </c>
      <c r="N423" s="31" t="s">
        <v>40</v>
      </c>
      <c r="O423" s="35">
        <f>3465</f>
        <v>3465</v>
      </c>
      <c r="P423" s="31" t="s">
        <v>41</v>
      </c>
      <c r="Q423" s="258">
        <f t="shared" ref="Q423:Q428" si="17">+O423/C423</f>
        <v>7.8750000000000001E-2</v>
      </c>
      <c r="R423" s="238"/>
      <c r="S423" s="49"/>
      <c r="T423" s="34">
        <v>45652</v>
      </c>
      <c r="U423" s="100" t="s">
        <v>43</v>
      </c>
      <c r="V423" s="34" t="s">
        <v>1138</v>
      </c>
      <c r="W423" s="33" t="s">
        <v>67</v>
      </c>
      <c r="X423" s="432">
        <v>70000</v>
      </c>
      <c r="Y423" s="33" t="s">
        <v>68</v>
      </c>
      <c r="Z423" s="746"/>
      <c r="AA423" s="64">
        <v>45646</v>
      </c>
      <c r="AB423" s="64">
        <v>45646</v>
      </c>
      <c r="AC423" s="7">
        <v>45652</v>
      </c>
      <c r="AD423" s="38"/>
      <c r="AE423" s="71">
        <v>45656</v>
      </c>
      <c r="AF423" s="15"/>
      <c r="AG423" s="15"/>
      <c r="AH423" s="15"/>
      <c r="AI423" s="15"/>
      <c r="AJ423" s="15"/>
      <c r="AK423" s="15"/>
      <c r="AL423" s="15"/>
      <c r="AM423" s="15"/>
      <c r="AN423" s="15"/>
      <c r="AO423" s="15"/>
      <c r="AP423" s="15"/>
      <c r="AQ423" s="15"/>
      <c r="AR423" s="15"/>
      <c r="AS423" s="15"/>
      <c r="AT423" s="15"/>
      <c r="AU423" s="15"/>
      <c r="AV423" s="15"/>
      <c r="AW423" s="15"/>
      <c r="AX423" s="15"/>
    </row>
    <row r="424" spans="1:51" s="30" customFormat="1" ht="18" hidden="1" x14ac:dyDescent="0.25">
      <c r="A424" s="210" t="s">
        <v>136</v>
      </c>
      <c r="B424" s="31" t="s">
        <v>1139</v>
      </c>
      <c r="C424" s="32">
        <v>44000</v>
      </c>
      <c r="D424" s="31" t="s">
        <v>105</v>
      </c>
      <c r="E424" s="31" t="s">
        <v>1140</v>
      </c>
      <c r="F424" s="31" t="s">
        <v>1141</v>
      </c>
      <c r="G424" s="31" t="s">
        <v>36</v>
      </c>
      <c r="H424" s="31" t="s">
        <v>37</v>
      </c>
      <c r="I424" s="31" t="s">
        <v>97</v>
      </c>
      <c r="J424" s="31" t="s">
        <v>98</v>
      </c>
      <c r="K424" s="31"/>
      <c r="L424" s="102">
        <v>45586</v>
      </c>
      <c r="M424" s="34" t="s">
        <v>99</v>
      </c>
      <c r="N424" s="31" t="s">
        <v>40</v>
      </c>
      <c r="O424" s="35">
        <f>3045+50</f>
        <v>3095</v>
      </c>
      <c r="P424" s="31" t="s">
        <v>41</v>
      </c>
      <c r="Q424" s="258">
        <f t="shared" si="17"/>
        <v>7.0340909090909093E-2</v>
      </c>
      <c r="R424" s="238"/>
      <c r="S424" s="49"/>
      <c r="T424" s="34">
        <v>45652</v>
      </c>
      <c r="U424" s="100" t="s">
        <v>43</v>
      </c>
      <c r="V424" s="34" t="s">
        <v>1138</v>
      </c>
      <c r="W424" s="33" t="s">
        <v>45</v>
      </c>
      <c r="X424" s="432">
        <v>109869</v>
      </c>
      <c r="Y424" s="33" t="s">
        <v>68</v>
      </c>
      <c r="Z424" s="746"/>
      <c r="AA424" s="64">
        <v>45646</v>
      </c>
      <c r="AB424" s="64">
        <v>45648</v>
      </c>
      <c r="AC424" s="7">
        <v>45652</v>
      </c>
      <c r="AD424" s="38"/>
      <c r="AE424" s="71">
        <v>45653</v>
      </c>
      <c r="AF424" s="15"/>
      <c r="AG424" s="15"/>
      <c r="AH424" s="15"/>
      <c r="AI424" s="15"/>
      <c r="AJ424" s="15"/>
      <c r="AK424" s="15"/>
      <c r="AL424" s="15"/>
      <c r="AM424" s="15"/>
      <c r="AN424" s="15"/>
      <c r="AO424" s="15"/>
      <c r="AP424" s="15"/>
      <c r="AQ424" s="15"/>
      <c r="AR424" s="15"/>
      <c r="AS424" s="15"/>
      <c r="AT424" s="15"/>
      <c r="AU424" s="15"/>
      <c r="AV424" s="15"/>
      <c r="AW424" s="15"/>
      <c r="AX424" s="15"/>
    </row>
    <row r="425" spans="1:51" s="30" customFormat="1" ht="18" hidden="1" x14ac:dyDescent="0.25">
      <c r="A425" s="210" t="s">
        <v>287</v>
      </c>
      <c r="B425" s="31">
        <v>27606</v>
      </c>
      <c r="C425" s="32">
        <v>35200</v>
      </c>
      <c r="D425" s="31" t="s">
        <v>33</v>
      </c>
      <c r="E425" s="31" t="s">
        <v>1142</v>
      </c>
      <c r="F425" s="31" t="s">
        <v>1143</v>
      </c>
      <c r="G425" s="31" t="s">
        <v>36</v>
      </c>
      <c r="H425" s="31" t="s">
        <v>37</v>
      </c>
      <c r="I425" s="31" t="s">
        <v>97</v>
      </c>
      <c r="J425" s="31" t="s">
        <v>98</v>
      </c>
      <c r="K425" s="31"/>
      <c r="L425" s="102">
        <v>45599</v>
      </c>
      <c r="M425" s="34" t="s">
        <v>39</v>
      </c>
      <c r="N425" s="31" t="s">
        <v>40</v>
      </c>
      <c r="O425" s="35">
        <f>3465</f>
        <v>3465</v>
      </c>
      <c r="P425" s="31" t="s">
        <v>41</v>
      </c>
      <c r="Q425" s="258">
        <f t="shared" si="17"/>
        <v>9.8437499999999997E-2</v>
      </c>
      <c r="R425" s="238"/>
      <c r="S425" s="49"/>
      <c r="T425" s="34">
        <v>45652</v>
      </c>
      <c r="U425" s="100" t="s">
        <v>43</v>
      </c>
      <c r="V425" s="34" t="s">
        <v>1138</v>
      </c>
      <c r="W425" s="33" t="s">
        <v>45</v>
      </c>
      <c r="X425" s="432">
        <v>41276</v>
      </c>
      <c r="Y425" s="33" t="s">
        <v>46</v>
      </c>
      <c r="Z425" s="33"/>
      <c r="AA425" s="78"/>
      <c r="AB425" s="7">
        <v>45652</v>
      </c>
      <c r="AC425" s="7">
        <v>45652</v>
      </c>
      <c r="AD425" s="38"/>
      <c r="AE425" s="71">
        <v>45654</v>
      </c>
      <c r="AF425" s="15"/>
      <c r="AG425" s="15"/>
      <c r="AH425" s="15"/>
      <c r="AI425" s="15"/>
      <c r="AJ425" s="15"/>
      <c r="AK425" s="15"/>
      <c r="AL425" s="15"/>
      <c r="AM425" s="15"/>
      <c r="AN425" s="15"/>
      <c r="AO425" s="15"/>
      <c r="AP425" s="15"/>
      <c r="AQ425" s="15"/>
      <c r="AR425" s="15"/>
      <c r="AS425" s="15"/>
      <c r="AT425" s="15"/>
      <c r="AU425" s="15"/>
      <c r="AV425" s="15"/>
      <c r="AW425" s="15"/>
      <c r="AX425" s="15"/>
    </row>
    <row r="426" spans="1:51" s="30" customFormat="1" ht="18" hidden="1" x14ac:dyDescent="0.25">
      <c r="A426" s="210" t="s">
        <v>287</v>
      </c>
      <c r="B426" s="31">
        <v>27769</v>
      </c>
      <c r="C426" s="32">
        <v>17196</v>
      </c>
      <c r="D426" s="31" t="s">
        <v>105</v>
      </c>
      <c r="E426" s="31" t="s">
        <v>1144</v>
      </c>
      <c r="F426" s="31" t="s">
        <v>1145</v>
      </c>
      <c r="G426" s="31" t="s">
        <v>36</v>
      </c>
      <c r="H426" s="31" t="s">
        <v>37</v>
      </c>
      <c r="I426" s="31" t="s">
        <v>97</v>
      </c>
      <c r="J426" s="31" t="s">
        <v>98</v>
      </c>
      <c r="K426" s="31"/>
      <c r="L426" s="102">
        <v>45599</v>
      </c>
      <c r="M426" s="34" t="s">
        <v>39</v>
      </c>
      <c r="N426" s="31" t="s">
        <v>40</v>
      </c>
      <c r="O426" s="35">
        <f>3465</f>
        <v>3465</v>
      </c>
      <c r="P426" s="31" t="s">
        <v>41</v>
      </c>
      <c r="Q426" s="258">
        <f t="shared" si="17"/>
        <v>0.20150034891835311</v>
      </c>
      <c r="R426" s="238"/>
      <c r="S426" s="49"/>
      <c r="T426" s="34">
        <v>45652</v>
      </c>
      <c r="U426" s="100" t="s">
        <v>43</v>
      </c>
      <c r="V426" s="34" t="s">
        <v>1138</v>
      </c>
      <c r="W426" s="33" t="s">
        <v>45</v>
      </c>
      <c r="X426" s="432">
        <v>20530</v>
      </c>
      <c r="Y426" s="33" t="s">
        <v>46</v>
      </c>
      <c r="Z426" s="33"/>
      <c r="AA426" s="78"/>
      <c r="AB426" s="7">
        <v>45652</v>
      </c>
      <c r="AC426" s="7">
        <v>45652</v>
      </c>
      <c r="AD426" s="38"/>
      <c r="AE426" s="71">
        <v>45654</v>
      </c>
      <c r="AF426" s="15"/>
      <c r="AG426" s="15"/>
      <c r="AH426" s="15"/>
      <c r="AI426" s="15"/>
      <c r="AJ426" s="15"/>
      <c r="AK426" s="15"/>
      <c r="AL426" s="15"/>
      <c r="AM426" s="15"/>
      <c r="AN426" s="15"/>
      <c r="AO426" s="15"/>
      <c r="AP426" s="15"/>
      <c r="AQ426" s="15"/>
      <c r="AR426" s="15"/>
      <c r="AS426" s="15"/>
      <c r="AT426" s="15"/>
      <c r="AU426" s="15"/>
      <c r="AV426" s="15"/>
      <c r="AW426" s="15"/>
      <c r="AX426" s="15"/>
    </row>
    <row r="427" spans="1:51" s="2" customFormat="1" ht="18" hidden="1" x14ac:dyDescent="0.25">
      <c r="A427" s="16" t="s">
        <v>241</v>
      </c>
      <c r="B427" s="159">
        <v>26178</v>
      </c>
      <c r="C427" s="390">
        <v>55000</v>
      </c>
      <c r="D427" s="6" t="s">
        <v>48</v>
      </c>
      <c r="E427" s="6" t="s">
        <v>954</v>
      </c>
      <c r="F427" s="254" t="s">
        <v>1146</v>
      </c>
      <c r="G427" s="254" t="s">
        <v>345</v>
      </c>
      <c r="H427" s="6" t="s">
        <v>51</v>
      </c>
      <c r="I427" s="159" t="s">
        <v>52</v>
      </c>
      <c r="J427" s="159" t="s">
        <v>75</v>
      </c>
      <c r="K427" s="159"/>
      <c r="L427" s="7">
        <v>45595</v>
      </c>
      <c r="M427" s="3"/>
      <c r="N427" s="6" t="s">
        <v>40</v>
      </c>
      <c r="O427" s="13">
        <v>575</v>
      </c>
      <c r="P427" s="159" t="s">
        <v>80</v>
      </c>
      <c r="Q427" s="19">
        <f t="shared" si="17"/>
        <v>1.0454545454545454E-2</v>
      </c>
      <c r="R427" s="7">
        <v>45636</v>
      </c>
      <c r="S427" s="41" t="s">
        <v>65</v>
      </c>
      <c r="T427" s="7">
        <v>45654</v>
      </c>
      <c r="U427" s="17" t="s">
        <v>76</v>
      </c>
      <c r="V427" s="7">
        <v>45660</v>
      </c>
      <c r="W427" s="10" t="s">
        <v>67</v>
      </c>
      <c r="X427" s="224">
        <v>52500</v>
      </c>
      <c r="Y427" s="11" t="s">
        <v>46</v>
      </c>
      <c r="Z427" s="11"/>
      <c r="AA427" s="78"/>
      <c r="AB427" s="7">
        <v>45657</v>
      </c>
      <c r="AC427" s="7">
        <v>45652</v>
      </c>
      <c r="AD427" s="3"/>
      <c r="AE427" s="71">
        <v>45668</v>
      </c>
      <c r="AF427" s="15"/>
      <c r="AG427" s="15"/>
      <c r="AH427" s="15"/>
      <c r="AI427" s="15"/>
      <c r="AJ427" s="15"/>
      <c r="AK427" s="15"/>
      <c r="AL427" s="15"/>
      <c r="AM427" s="15"/>
      <c r="AN427" s="15"/>
      <c r="AO427" s="15"/>
      <c r="AP427" s="15"/>
      <c r="AQ427" s="15"/>
      <c r="AR427" s="15"/>
      <c r="AS427" s="15"/>
      <c r="AT427" s="15"/>
      <c r="AU427" s="15"/>
    </row>
    <row r="428" spans="1:51" s="2" customFormat="1" ht="18" hidden="1" x14ac:dyDescent="0.25">
      <c r="A428" s="209" t="s">
        <v>241</v>
      </c>
      <c r="B428" s="159">
        <v>27884</v>
      </c>
      <c r="C428" s="390">
        <v>55000</v>
      </c>
      <c r="D428" s="6" t="s">
        <v>48</v>
      </c>
      <c r="E428" s="6" t="s">
        <v>1147</v>
      </c>
      <c r="F428" s="254" t="s">
        <v>1148</v>
      </c>
      <c r="G428" s="254" t="s">
        <v>345</v>
      </c>
      <c r="H428" s="6" t="s">
        <v>109</v>
      </c>
      <c r="I428" s="159" t="s">
        <v>52</v>
      </c>
      <c r="J428" s="159" t="s">
        <v>75</v>
      </c>
      <c r="K428" s="159"/>
      <c r="L428" s="7">
        <v>45595</v>
      </c>
      <c r="M428" s="3"/>
      <c r="N428" s="6" t="s">
        <v>40</v>
      </c>
      <c r="O428" s="13">
        <v>575</v>
      </c>
      <c r="P428" s="159" t="s">
        <v>80</v>
      </c>
      <c r="Q428" s="19">
        <f t="shared" si="17"/>
        <v>1.0454545454545454E-2</v>
      </c>
      <c r="R428" s="7">
        <v>45636</v>
      </c>
      <c r="S428" s="41" t="s">
        <v>65</v>
      </c>
      <c r="T428" s="7">
        <v>45654</v>
      </c>
      <c r="U428" s="17" t="s">
        <v>76</v>
      </c>
      <c r="V428" s="7">
        <v>45660</v>
      </c>
      <c r="W428" s="10" t="s">
        <v>67</v>
      </c>
      <c r="X428" s="224">
        <v>42570</v>
      </c>
      <c r="Y428" s="11" t="s">
        <v>46</v>
      </c>
      <c r="Z428" s="11"/>
      <c r="AA428" s="78"/>
      <c r="AB428" s="7">
        <v>45657</v>
      </c>
      <c r="AC428" s="7">
        <v>45652</v>
      </c>
      <c r="AD428" s="3"/>
      <c r="AE428" s="71">
        <v>45668</v>
      </c>
      <c r="AF428" s="15"/>
      <c r="AG428" s="15"/>
      <c r="AH428" s="15"/>
      <c r="AI428" s="15"/>
      <c r="AJ428" s="15"/>
      <c r="AK428" s="15"/>
      <c r="AL428" s="15"/>
      <c r="AM428" s="15"/>
      <c r="AN428" s="15"/>
      <c r="AO428" s="15"/>
      <c r="AP428" s="15"/>
      <c r="AQ428" s="15"/>
      <c r="AR428" s="15"/>
      <c r="AS428" s="15"/>
      <c r="AT428" s="15"/>
      <c r="AU428" s="15"/>
    </row>
    <row r="429" spans="1:51" s="30" customFormat="1" ht="18" hidden="1" x14ac:dyDescent="0.25">
      <c r="A429" s="210" t="s">
        <v>351</v>
      </c>
      <c r="B429" s="31">
        <v>28060</v>
      </c>
      <c r="C429" s="32">
        <v>50578</v>
      </c>
      <c r="D429" s="31" t="s">
        <v>48</v>
      </c>
      <c r="E429" s="31" t="s">
        <v>442</v>
      </c>
      <c r="F429" s="31" t="s">
        <v>1149</v>
      </c>
      <c r="G429" s="31" t="s">
        <v>687</v>
      </c>
      <c r="H429" s="31" t="s">
        <v>51</v>
      </c>
      <c r="I429" s="31" t="s">
        <v>52</v>
      </c>
      <c r="J429" s="31" t="s">
        <v>38</v>
      </c>
      <c r="K429" s="31"/>
      <c r="L429" s="102">
        <v>45611</v>
      </c>
      <c r="M429" s="34"/>
      <c r="N429" s="31" t="s">
        <v>40</v>
      </c>
      <c r="O429" s="35"/>
      <c r="P429" s="31"/>
      <c r="Q429" s="258"/>
      <c r="R429" s="102">
        <v>45637</v>
      </c>
      <c r="S429" s="258" t="s">
        <v>494</v>
      </c>
      <c r="T429" s="34">
        <v>45652</v>
      </c>
      <c r="U429" s="100" t="s">
        <v>178</v>
      </c>
      <c r="V429" s="34">
        <v>45660</v>
      </c>
      <c r="W429" s="33" t="s">
        <v>67</v>
      </c>
      <c r="X429" s="62">
        <v>166677</v>
      </c>
      <c r="Y429" s="33" t="s">
        <v>341</v>
      </c>
      <c r="Z429" s="33"/>
      <c r="AA429" s="78"/>
      <c r="AB429" s="7">
        <v>45638</v>
      </c>
      <c r="AC429" s="7">
        <v>45647</v>
      </c>
      <c r="AD429" s="38"/>
      <c r="AE429" s="71">
        <v>45668</v>
      </c>
      <c r="AF429" s="15"/>
      <c r="AG429" s="15"/>
      <c r="AH429" s="15"/>
      <c r="AI429" s="15"/>
      <c r="AJ429" s="15"/>
      <c r="AK429" s="15"/>
      <c r="AL429" s="15"/>
      <c r="AM429" s="15"/>
      <c r="AN429" s="15"/>
      <c r="AO429" s="15"/>
      <c r="AP429" s="15"/>
      <c r="AQ429" s="15"/>
      <c r="AR429" s="15"/>
      <c r="AS429" s="15"/>
      <c r="AT429" s="15"/>
      <c r="AU429" s="15"/>
      <c r="AV429" s="15"/>
      <c r="AW429" s="15"/>
      <c r="AX429" s="15"/>
    </row>
    <row r="430" spans="1:51" s="30" customFormat="1" ht="18" hidden="1" customHeight="1" x14ac:dyDescent="0.25">
      <c r="A430" s="341" t="s">
        <v>936</v>
      </c>
      <c r="B430" s="31">
        <v>28019</v>
      </c>
      <c r="C430" s="32">
        <v>55000</v>
      </c>
      <c r="D430" s="31" t="s">
        <v>33</v>
      </c>
      <c r="E430" s="31" t="s">
        <v>852</v>
      </c>
      <c r="F430" s="31" t="s">
        <v>1150</v>
      </c>
      <c r="G430" s="31" t="s">
        <v>36</v>
      </c>
      <c r="H430" s="31" t="s">
        <v>37</v>
      </c>
      <c r="I430" s="31" t="s">
        <v>281</v>
      </c>
      <c r="J430" s="31" t="s">
        <v>120</v>
      </c>
      <c r="K430" s="31"/>
      <c r="L430" s="102">
        <v>45613</v>
      </c>
      <c r="M430" s="34" t="s">
        <v>913</v>
      </c>
      <c r="N430" s="31" t="s">
        <v>40</v>
      </c>
      <c r="O430" s="35">
        <f>4365</f>
        <v>4365</v>
      </c>
      <c r="P430" s="31" t="s">
        <v>41</v>
      </c>
      <c r="Q430" s="258" t="s">
        <v>41</v>
      </c>
      <c r="R430" s="34">
        <v>45642</v>
      </c>
      <c r="S430" s="258" t="s">
        <v>65</v>
      </c>
      <c r="T430" s="34">
        <v>45660</v>
      </c>
      <c r="U430" s="100" t="s">
        <v>76</v>
      </c>
      <c r="V430" s="34" t="s">
        <v>1151</v>
      </c>
      <c r="W430" s="33" t="s">
        <v>67</v>
      </c>
      <c r="X430" s="62">
        <f>211750-21175</f>
        <v>190575</v>
      </c>
      <c r="Y430" s="33" t="s">
        <v>68</v>
      </c>
      <c r="Z430" s="33"/>
      <c r="AA430" s="7">
        <v>45660</v>
      </c>
      <c r="AB430" s="7">
        <v>45660</v>
      </c>
      <c r="AC430" s="7">
        <v>45660</v>
      </c>
      <c r="AD430" s="38"/>
      <c r="AE430" s="71">
        <v>45643</v>
      </c>
      <c r="AF430" s="15"/>
      <c r="AG430" s="15"/>
      <c r="AH430" s="15"/>
      <c r="AI430" s="15"/>
      <c r="AJ430" s="15"/>
      <c r="AK430" s="15"/>
      <c r="AL430" s="15"/>
      <c r="AM430" s="15"/>
      <c r="AN430" s="15"/>
      <c r="AO430" s="15"/>
      <c r="AP430" s="15"/>
      <c r="AQ430" s="15"/>
      <c r="AR430" s="15"/>
      <c r="AS430" s="15"/>
      <c r="AT430" s="15"/>
      <c r="AU430" s="15"/>
      <c r="AV430" s="15"/>
      <c r="AW430" s="15"/>
      <c r="AX430" s="15"/>
      <c r="AY430" s="15"/>
    </row>
    <row r="431" spans="1:51" s="3" customFormat="1" ht="18" hidden="1" x14ac:dyDescent="0.25">
      <c r="A431" s="209" t="s">
        <v>289</v>
      </c>
      <c r="B431" s="6">
        <v>27572</v>
      </c>
      <c r="C431" s="5">
        <v>40000</v>
      </c>
      <c r="D431" s="4" t="s">
        <v>105</v>
      </c>
      <c r="E431" s="6" t="s">
        <v>1152</v>
      </c>
      <c r="F431" s="6" t="s">
        <v>1153</v>
      </c>
      <c r="G431" s="6" t="s">
        <v>108</v>
      </c>
      <c r="H431" s="6" t="s">
        <v>37</v>
      </c>
      <c r="I431" s="6" t="s">
        <v>350</v>
      </c>
      <c r="J431" s="6" t="s">
        <v>292</v>
      </c>
      <c r="K431" s="6"/>
      <c r="L431" s="7">
        <v>45625</v>
      </c>
      <c r="M431" s="7" t="s">
        <v>108</v>
      </c>
      <c r="N431" s="6" t="s">
        <v>1154</v>
      </c>
      <c r="O431" s="250">
        <v>3577.48</v>
      </c>
      <c r="P431" s="6" t="s">
        <v>41</v>
      </c>
      <c r="Q431" s="19">
        <f>+O431/C431</f>
        <v>8.9437000000000003E-2</v>
      </c>
      <c r="R431" s="7">
        <v>45643</v>
      </c>
      <c r="S431" s="156" t="s">
        <v>121</v>
      </c>
      <c r="T431" s="7">
        <v>45664</v>
      </c>
      <c r="U431" s="46" t="s">
        <v>76</v>
      </c>
      <c r="V431" s="7" t="s">
        <v>1151</v>
      </c>
      <c r="W431" s="10" t="s">
        <v>67</v>
      </c>
      <c r="X431" s="236">
        <v>49300</v>
      </c>
      <c r="Y431" s="11" t="s">
        <v>46</v>
      </c>
      <c r="Z431" s="171"/>
      <c r="AA431" s="64">
        <v>45645</v>
      </c>
      <c r="AB431" s="64">
        <v>45646</v>
      </c>
      <c r="AC431" s="64">
        <v>45664</v>
      </c>
      <c r="AE431" s="71">
        <v>45639</v>
      </c>
      <c r="AF431" s="208"/>
      <c r="AG431" s="208"/>
      <c r="AH431" s="208"/>
      <c r="AI431" s="208"/>
      <c r="AJ431" s="208"/>
      <c r="AK431" s="208"/>
      <c r="AL431" s="208"/>
      <c r="AM431" s="208"/>
      <c r="AN431" s="208"/>
      <c r="AO431" s="208"/>
      <c r="AP431" s="208"/>
      <c r="AQ431" s="208"/>
      <c r="AR431" s="208"/>
      <c r="AS431" s="208"/>
      <c r="AT431" s="208"/>
      <c r="AU431" s="208"/>
    </row>
    <row r="432" spans="1:51" s="30" customFormat="1" ht="18" hidden="1" customHeight="1" x14ac:dyDescent="0.25">
      <c r="A432" s="16" t="s">
        <v>1155</v>
      </c>
      <c r="B432" s="6">
        <v>27739</v>
      </c>
      <c r="C432" s="5">
        <v>26455</v>
      </c>
      <c r="D432" s="167" t="s">
        <v>48</v>
      </c>
      <c r="E432" s="167" t="s">
        <v>1156</v>
      </c>
      <c r="F432" s="6" t="s">
        <v>1157</v>
      </c>
      <c r="G432" s="167" t="s">
        <v>36</v>
      </c>
      <c r="H432" s="167" t="s">
        <v>37</v>
      </c>
      <c r="I432" s="6" t="s">
        <v>1158</v>
      </c>
      <c r="J432" s="6" t="s">
        <v>98</v>
      </c>
      <c r="K432" s="6"/>
      <c r="L432" s="7">
        <v>45619</v>
      </c>
      <c r="M432" s="7" t="s">
        <v>913</v>
      </c>
      <c r="N432" s="6" t="s">
        <v>1154</v>
      </c>
      <c r="O432" s="13">
        <v>4190</v>
      </c>
      <c r="P432" s="6" t="s">
        <v>41</v>
      </c>
      <c r="Q432" s="19">
        <f>+O432/C432</f>
        <v>0.15838215838215838</v>
      </c>
      <c r="R432" s="219"/>
      <c r="S432" s="219"/>
      <c r="T432" s="65">
        <v>45661</v>
      </c>
      <c r="U432" s="46" t="s">
        <v>43</v>
      </c>
      <c r="V432" s="7" t="s">
        <v>1151</v>
      </c>
      <c r="W432" s="10" t="s">
        <v>67</v>
      </c>
      <c r="X432" s="236">
        <f>265125-79537.5</f>
        <v>185587.5</v>
      </c>
      <c r="Y432" s="11" t="s">
        <v>46</v>
      </c>
      <c r="Z432" s="11"/>
      <c r="AA432" s="7">
        <v>45666</v>
      </c>
      <c r="AB432" s="7">
        <v>45666</v>
      </c>
      <c r="AC432" s="7">
        <v>45665</v>
      </c>
      <c r="AD432" s="242" t="s">
        <v>1159</v>
      </c>
      <c r="AE432" s="71">
        <v>45656</v>
      </c>
      <c r="AF432" s="15"/>
      <c r="AG432" s="15"/>
      <c r="AH432" s="15"/>
      <c r="AI432" s="15"/>
      <c r="AJ432" s="15"/>
      <c r="AK432" s="15"/>
      <c r="AL432" s="15"/>
      <c r="AM432" s="15"/>
      <c r="AN432" s="15"/>
      <c r="AO432" s="15"/>
      <c r="AP432" s="15"/>
      <c r="AQ432" s="15"/>
      <c r="AR432" s="15"/>
      <c r="AS432" s="15"/>
      <c r="AT432" s="15"/>
      <c r="AU432" s="15"/>
      <c r="AV432" s="15"/>
      <c r="AW432" s="15"/>
      <c r="AX432" s="15"/>
    </row>
    <row r="433" spans="1:51" s="30" customFormat="1" ht="24.6" hidden="1" customHeight="1" x14ac:dyDescent="0.25">
      <c r="A433" s="21" t="s">
        <v>1031</v>
      </c>
      <c r="B433" s="256">
        <v>27599</v>
      </c>
      <c r="C433" s="246">
        <v>40000</v>
      </c>
      <c r="D433" s="256" t="s">
        <v>249</v>
      </c>
      <c r="E433" s="256" t="s">
        <v>1160</v>
      </c>
      <c r="F433" s="256"/>
      <c r="G433" s="256"/>
      <c r="H433" s="22" t="s">
        <v>164</v>
      </c>
      <c r="I433" s="22" t="s">
        <v>1033</v>
      </c>
      <c r="J433" s="22" t="s">
        <v>62</v>
      </c>
      <c r="K433" s="22"/>
      <c r="L433" s="25">
        <v>45660</v>
      </c>
      <c r="M433" s="314"/>
      <c r="N433" s="22" t="s">
        <v>434</v>
      </c>
      <c r="O433" s="485">
        <f>3360*1.2025</f>
        <v>4040.3999999999996</v>
      </c>
      <c r="P433" s="22" t="s">
        <v>41</v>
      </c>
      <c r="Q433" s="27"/>
      <c r="R433" s="217"/>
      <c r="S433" s="27"/>
      <c r="T433" s="24"/>
      <c r="U433" s="245" t="s">
        <v>66</v>
      </c>
      <c r="V433" s="25" t="s">
        <v>1151</v>
      </c>
      <c r="W433" s="24" t="s">
        <v>45</v>
      </c>
      <c r="X433" s="412">
        <v>104000</v>
      </c>
      <c r="Y433" s="24" t="s">
        <v>215</v>
      </c>
      <c r="Z433" s="24"/>
      <c r="AA433" s="78"/>
      <c r="AB433" s="78"/>
      <c r="AC433" s="7">
        <v>45665</v>
      </c>
      <c r="AD433" s="38"/>
      <c r="AE433" s="263">
        <v>45667</v>
      </c>
      <c r="AF433" s="15"/>
      <c r="AG433" s="15"/>
      <c r="AH433" s="15"/>
      <c r="AI433" s="15"/>
      <c r="AJ433" s="15"/>
      <c r="AK433" s="15"/>
      <c r="AL433" s="15"/>
      <c r="AM433" s="15"/>
      <c r="AN433" s="15"/>
      <c r="AO433" s="15"/>
      <c r="AP433" s="15"/>
      <c r="AQ433" s="15"/>
      <c r="AR433" s="15"/>
      <c r="AS433" s="15"/>
      <c r="AT433" s="15"/>
      <c r="AU433" s="15"/>
      <c r="AV433" s="15"/>
      <c r="AW433" s="15"/>
      <c r="AX433" s="15"/>
      <c r="AY433" s="15"/>
    </row>
    <row r="434" spans="1:51" s="30" customFormat="1" ht="24.95" hidden="1" customHeight="1" x14ac:dyDescent="0.25">
      <c r="A434" s="21" t="s">
        <v>259</v>
      </c>
      <c r="B434" s="22">
        <v>24560</v>
      </c>
      <c r="C434" s="23">
        <v>40500</v>
      </c>
      <c r="D434" s="22" t="s">
        <v>249</v>
      </c>
      <c r="E434" s="22" t="s">
        <v>260</v>
      </c>
      <c r="F434" s="22"/>
      <c r="G434" s="22"/>
      <c r="H434" s="22" t="s">
        <v>37</v>
      </c>
      <c r="I434" s="22" t="s">
        <v>261</v>
      </c>
      <c r="J434" s="22"/>
      <c r="K434" s="22"/>
      <c r="L434" s="255">
        <v>45667</v>
      </c>
      <c r="M434" s="25"/>
      <c r="N434" s="22" t="s">
        <v>45</v>
      </c>
      <c r="O434" s="26"/>
      <c r="P434" s="22"/>
      <c r="Q434" s="27"/>
      <c r="R434" s="217"/>
      <c r="S434" s="27"/>
      <c r="T434" s="24"/>
      <c r="U434" s="28" t="s">
        <v>66</v>
      </c>
      <c r="V434" s="25" t="s">
        <v>1151</v>
      </c>
      <c r="W434" s="24" t="s">
        <v>67</v>
      </c>
      <c r="X434" s="29">
        <v>55485</v>
      </c>
      <c r="Y434" s="24" t="s">
        <v>215</v>
      </c>
      <c r="Z434" s="261"/>
      <c r="AA434" s="351"/>
      <c r="AB434" s="78"/>
      <c r="AC434" s="78"/>
      <c r="AD434" s="38"/>
      <c r="AE434" s="71" t="s">
        <v>378</v>
      </c>
      <c r="AF434" s="15"/>
      <c r="AG434" s="15"/>
      <c r="AH434" s="15"/>
      <c r="AI434" s="15"/>
      <c r="AJ434" s="15"/>
      <c r="AK434" s="15"/>
      <c r="AL434" s="15"/>
      <c r="AM434" s="15"/>
      <c r="AN434" s="15"/>
      <c r="AO434" s="15"/>
      <c r="AP434" s="15"/>
      <c r="AQ434" s="15"/>
      <c r="AR434" s="15"/>
      <c r="AS434" s="15"/>
      <c r="AT434" s="15"/>
      <c r="AU434" s="15"/>
      <c r="AV434" s="15"/>
      <c r="AW434" s="15"/>
      <c r="AX434" s="15"/>
      <c r="AY434" s="15"/>
    </row>
    <row r="435" spans="1:51" s="30" customFormat="1" ht="18" hidden="1" customHeight="1" x14ac:dyDescent="0.25">
      <c r="A435" s="209" t="s">
        <v>994</v>
      </c>
      <c r="B435" s="4">
        <v>27854</v>
      </c>
      <c r="C435" s="426">
        <v>35273</v>
      </c>
      <c r="D435" s="4" t="s">
        <v>105</v>
      </c>
      <c r="E435" s="4" t="s">
        <v>857</v>
      </c>
      <c r="F435" s="4" t="s">
        <v>1161</v>
      </c>
      <c r="G435" s="4" t="s">
        <v>130</v>
      </c>
      <c r="H435" s="4" t="s">
        <v>51</v>
      </c>
      <c r="I435" s="4" t="s">
        <v>52</v>
      </c>
      <c r="J435" s="4" t="s">
        <v>75</v>
      </c>
      <c r="K435" s="4"/>
      <c r="L435" s="7">
        <v>45596</v>
      </c>
      <c r="M435" s="85"/>
      <c r="N435" s="4"/>
      <c r="O435" s="428">
        <v>545</v>
      </c>
      <c r="P435" s="4" t="s">
        <v>80</v>
      </c>
      <c r="Q435" s="19">
        <f>+O435/C435</f>
        <v>1.5450911462024779E-2</v>
      </c>
      <c r="R435" s="7">
        <v>45641</v>
      </c>
      <c r="S435" s="41" t="s">
        <v>65</v>
      </c>
      <c r="T435" s="7">
        <v>45666</v>
      </c>
      <c r="U435" s="17" t="s">
        <v>178</v>
      </c>
      <c r="V435" s="7" t="s">
        <v>1162</v>
      </c>
      <c r="W435" s="10" t="s">
        <v>67</v>
      </c>
      <c r="X435" s="236">
        <v>267200</v>
      </c>
      <c r="Y435" s="171" t="s">
        <v>68</v>
      </c>
      <c r="Z435" s="171"/>
      <c r="AA435" s="7">
        <v>45653</v>
      </c>
      <c r="AB435" s="7">
        <v>45666</v>
      </c>
      <c r="AC435" s="7">
        <v>45665</v>
      </c>
      <c r="AD435" s="38" t="s">
        <v>1163</v>
      </c>
      <c r="AE435" s="71">
        <v>45671</v>
      </c>
      <c r="AF435" s="15"/>
      <c r="AG435" s="15"/>
      <c r="AH435" s="15"/>
      <c r="AI435" s="15"/>
      <c r="AJ435" s="15"/>
      <c r="AK435" s="15"/>
      <c r="AL435" s="15"/>
      <c r="AM435" s="15"/>
      <c r="AN435" s="15"/>
      <c r="AO435" s="15"/>
      <c r="AP435" s="15"/>
      <c r="AQ435" s="15"/>
      <c r="AR435" s="15"/>
      <c r="AS435" s="15"/>
      <c r="AT435" s="15"/>
      <c r="AU435" s="15"/>
      <c r="AV435" s="15"/>
      <c r="AW435" s="15"/>
      <c r="AX435" s="15"/>
      <c r="AY435" s="15"/>
    </row>
    <row r="436" spans="1:51" s="15" customFormat="1" ht="18" hidden="1" x14ac:dyDescent="0.25">
      <c r="A436" s="209" t="s">
        <v>670</v>
      </c>
      <c r="B436" s="6">
        <v>27631</v>
      </c>
      <c r="C436" s="44">
        <v>41000</v>
      </c>
      <c r="D436" s="6" t="s">
        <v>105</v>
      </c>
      <c r="E436" s="6" t="s">
        <v>1164</v>
      </c>
      <c r="F436" s="6" t="s">
        <v>1165</v>
      </c>
      <c r="G436" s="6" t="s">
        <v>36</v>
      </c>
      <c r="H436" s="6" t="s">
        <v>37</v>
      </c>
      <c r="I436" s="6" t="s">
        <v>673</v>
      </c>
      <c r="J436" s="6" t="s">
        <v>674</v>
      </c>
      <c r="K436" s="6"/>
      <c r="L436" s="433">
        <v>45623</v>
      </c>
      <c r="M436" s="7" t="s">
        <v>913</v>
      </c>
      <c r="N436" s="6"/>
      <c r="O436" s="13">
        <f>4890</f>
        <v>4890</v>
      </c>
      <c r="P436" s="6" t="s">
        <v>41</v>
      </c>
      <c r="Q436" s="19">
        <f>+O436/C436</f>
        <v>0.11926829268292682</v>
      </c>
      <c r="R436" s="65">
        <v>45657</v>
      </c>
      <c r="S436" s="154" t="s">
        <v>121</v>
      </c>
      <c r="T436" s="7">
        <v>45666</v>
      </c>
      <c r="U436" s="46" t="s">
        <v>76</v>
      </c>
      <c r="V436" s="7" t="s">
        <v>1162</v>
      </c>
      <c r="W436" s="10" t="s">
        <v>45</v>
      </c>
      <c r="X436" s="236">
        <v>37198</v>
      </c>
      <c r="Y436" s="11" t="s">
        <v>68</v>
      </c>
      <c r="Z436" s="171"/>
      <c r="AA436" s="351"/>
      <c r="AB436" s="7">
        <v>45667</v>
      </c>
      <c r="AC436" s="7">
        <v>45666</v>
      </c>
      <c r="AD436" s="38"/>
      <c r="AE436" s="71">
        <v>45658</v>
      </c>
    </row>
    <row r="437" spans="1:51" s="30" customFormat="1" ht="24.95" hidden="1" customHeight="1" x14ac:dyDescent="0.25">
      <c r="A437" s="21" t="s">
        <v>259</v>
      </c>
      <c r="B437" s="22">
        <v>24561</v>
      </c>
      <c r="C437" s="23">
        <v>40500</v>
      </c>
      <c r="D437" s="22" t="s">
        <v>249</v>
      </c>
      <c r="E437" s="22" t="s">
        <v>260</v>
      </c>
      <c r="F437" s="22"/>
      <c r="G437" s="22"/>
      <c r="H437" s="22" t="s">
        <v>37</v>
      </c>
      <c r="I437" s="22" t="s">
        <v>261</v>
      </c>
      <c r="J437" s="22"/>
      <c r="K437" s="22"/>
      <c r="L437" s="25">
        <v>45670</v>
      </c>
      <c r="M437" s="25"/>
      <c r="N437" s="22" t="s">
        <v>45</v>
      </c>
      <c r="O437" s="26"/>
      <c r="P437" s="22"/>
      <c r="Q437" s="27"/>
      <c r="R437" s="217"/>
      <c r="S437" s="27"/>
      <c r="T437" s="24"/>
      <c r="U437" s="28" t="s">
        <v>66</v>
      </c>
      <c r="V437" s="25" t="s">
        <v>1166</v>
      </c>
      <c r="W437" s="24" t="s">
        <v>67</v>
      </c>
      <c r="X437" s="29">
        <v>55485</v>
      </c>
      <c r="Y437" s="24" t="s">
        <v>215</v>
      </c>
      <c r="Z437" s="261"/>
      <c r="AA437" s="351"/>
      <c r="AB437" s="351"/>
      <c r="AC437" s="351"/>
      <c r="AD437" s="6"/>
      <c r="AE437" s="71" t="s">
        <v>378</v>
      </c>
      <c r="AF437" s="15"/>
      <c r="AG437" s="15"/>
      <c r="AH437" s="15"/>
      <c r="AI437" s="15"/>
      <c r="AJ437" s="15"/>
      <c r="AK437" s="15"/>
      <c r="AL437" s="15"/>
      <c r="AM437" s="15"/>
      <c r="AN437" s="15"/>
      <c r="AO437" s="15"/>
      <c r="AP437" s="15"/>
      <c r="AQ437" s="15"/>
      <c r="AR437" s="15"/>
      <c r="AS437" s="15"/>
      <c r="AT437" s="15"/>
      <c r="AU437" s="15"/>
      <c r="AV437" s="15"/>
      <c r="AW437" s="15"/>
      <c r="AX437" s="15"/>
      <c r="AY437" s="15"/>
    </row>
    <row r="438" spans="1:51" s="15" customFormat="1" ht="18" hidden="1" x14ac:dyDescent="0.25">
      <c r="A438" s="209" t="s">
        <v>367</v>
      </c>
      <c r="B438" s="6">
        <v>27549</v>
      </c>
      <c r="C438" s="5">
        <v>55000</v>
      </c>
      <c r="D438" s="45" t="s">
        <v>33</v>
      </c>
      <c r="E438" s="6" t="s">
        <v>1167</v>
      </c>
      <c r="F438" s="4" t="s">
        <v>1168</v>
      </c>
      <c r="G438" s="4" t="s">
        <v>1169</v>
      </c>
      <c r="H438" s="6" t="s">
        <v>51</v>
      </c>
      <c r="I438" s="6" t="s">
        <v>52</v>
      </c>
      <c r="J438" s="6"/>
      <c r="K438" s="6"/>
      <c r="L438" s="7">
        <v>45590</v>
      </c>
      <c r="M438" s="7"/>
      <c r="N438" s="73"/>
      <c r="O438" s="13">
        <v>575</v>
      </c>
      <c r="P438" s="6" t="s">
        <v>80</v>
      </c>
      <c r="Q438" s="19">
        <f>+O438/C438</f>
        <v>1.0454545454545454E-2</v>
      </c>
      <c r="R438" s="7">
        <v>45636</v>
      </c>
      <c r="S438" s="41" t="s">
        <v>65</v>
      </c>
      <c r="T438" s="7">
        <v>45662</v>
      </c>
      <c r="U438" s="17" t="s">
        <v>76</v>
      </c>
      <c r="V438" s="7" t="s">
        <v>1162</v>
      </c>
      <c r="W438" s="10" t="s">
        <v>67</v>
      </c>
      <c r="X438" s="236">
        <f>83750+4350</f>
        <v>88100</v>
      </c>
      <c r="Y438" s="11" t="s">
        <v>46</v>
      </c>
      <c r="Z438" s="171"/>
      <c r="AA438" s="351"/>
      <c r="AB438" s="71">
        <v>45670</v>
      </c>
      <c r="AC438" s="7">
        <v>45662</v>
      </c>
      <c r="AD438" s="38"/>
      <c r="AE438" s="71" t="s">
        <v>791</v>
      </c>
    </row>
    <row r="439" spans="1:51" s="30" customFormat="1" ht="23.1" hidden="1" customHeight="1" x14ac:dyDescent="0.25">
      <c r="A439" s="109" t="s">
        <v>77</v>
      </c>
      <c r="B439" s="22">
        <v>28494</v>
      </c>
      <c r="C439" s="246">
        <v>40000</v>
      </c>
      <c r="D439" s="256" t="s">
        <v>249</v>
      </c>
      <c r="E439" s="22" t="s">
        <v>1170</v>
      </c>
      <c r="F439" s="22"/>
      <c r="G439" s="22"/>
      <c r="H439" s="22" t="s">
        <v>60</v>
      </c>
      <c r="I439" s="22"/>
      <c r="J439" s="22"/>
      <c r="K439" s="22"/>
      <c r="L439" s="255">
        <v>45673</v>
      </c>
      <c r="M439" s="25"/>
      <c r="N439" s="22"/>
      <c r="O439" s="247">
        <v>0</v>
      </c>
      <c r="P439" s="22"/>
      <c r="Q439" s="27"/>
      <c r="R439" s="217"/>
      <c r="S439" s="27"/>
      <c r="T439" s="24"/>
      <c r="U439" s="245" t="s">
        <v>66</v>
      </c>
      <c r="V439" s="25" t="s">
        <v>1166</v>
      </c>
      <c r="W439" s="55" t="s">
        <v>45</v>
      </c>
      <c r="X439" s="248">
        <v>71525</v>
      </c>
      <c r="Y439" s="24" t="s">
        <v>215</v>
      </c>
      <c r="Z439" s="24"/>
      <c r="AA439" s="78"/>
      <c r="AB439" s="78"/>
      <c r="AC439" s="78"/>
      <c r="AD439" s="38"/>
      <c r="AE439" s="71" t="s">
        <v>378</v>
      </c>
      <c r="AF439" s="15"/>
      <c r="AG439" s="15"/>
      <c r="AH439" s="15"/>
      <c r="AI439" s="15"/>
      <c r="AJ439" s="15"/>
      <c r="AK439" s="15"/>
      <c r="AL439" s="15"/>
      <c r="AM439" s="15"/>
      <c r="AN439" s="15"/>
      <c r="AO439" s="15"/>
      <c r="AP439" s="15"/>
      <c r="AQ439" s="15"/>
      <c r="AR439" s="15"/>
      <c r="AS439" s="15"/>
      <c r="AT439" s="15"/>
      <c r="AU439" s="15"/>
      <c r="AV439" s="15"/>
      <c r="AW439" s="15"/>
      <c r="AX439" s="15"/>
      <c r="AY439" s="15"/>
    </row>
    <row r="440" spans="1:51" s="30" customFormat="1" ht="23.1" hidden="1" customHeight="1" x14ac:dyDescent="0.25">
      <c r="A440" s="21" t="s">
        <v>100</v>
      </c>
      <c r="B440" s="22">
        <v>28151</v>
      </c>
      <c r="C440" s="23">
        <v>6000</v>
      </c>
      <c r="D440" s="22">
        <v>3</v>
      </c>
      <c r="E440" s="22" t="s">
        <v>1171</v>
      </c>
      <c r="F440" s="22"/>
      <c r="G440" s="22"/>
      <c r="H440" s="22" t="s">
        <v>164</v>
      </c>
      <c r="I440" s="22" t="s">
        <v>1093</v>
      </c>
      <c r="J440" s="22" t="s">
        <v>62</v>
      </c>
      <c r="K440" s="22"/>
      <c r="L440" s="25">
        <v>45664</v>
      </c>
      <c r="M440" s="25"/>
      <c r="N440" s="22" t="s">
        <v>441</v>
      </c>
      <c r="O440" s="26">
        <v>1625</v>
      </c>
      <c r="P440" s="22" t="s">
        <v>80</v>
      </c>
      <c r="Q440" s="259">
        <f>+O440/C440</f>
        <v>0.27083333333333331</v>
      </c>
      <c r="R440" s="217"/>
      <c r="S440" s="27"/>
      <c r="T440" s="24"/>
      <c r="U440" s="28" t="s">
        <v>66</v>
      </c>
      <c r="V440" s="25" t="s">
        <v>1166</v>
      </c>
      <c r="W440" s="55" t="s">
        <v>45</v>
      </c>
      <c r="X440" s="29">
        <v>10020</v>
      </c>
      <c r="Y440" s="24" t="s">
        <v>215</v>
      </c>
      <c r="Z440" s="261"/>
      <c r="AA440" s="351"/>
      <c r="AB440" s="78"/>
      <c r="AC440" s="7"/>
      <c r="AD440" s="6"/>
      <c r="AE440" s="71">
        <v>45672</v>
      </c>
      <c r="AF440" s="15"/>
      <c r="AG440" s="15"/>
      <c r="AH440" s="15"/>
      <c r="AI440" s="15"/>
      <c r="AJ440" s="15"/>
      <c r="AK440" s="15"/>
      <c r="AL440" s="15"/>
      <c r="AM440" s="15"/>
      <c r="AN440" s="15"/>
      <c r="AO440" s="15"/>
      <c r="AP440" s="15"/>
      <c r="AQ440" s="15"/>
      <c r="AR440" s="15"/>
      <c r="AS440" s="15"/>
      <c r="AT440" s="15"/>
      <c r="AU440" s="15"/>
      <c r="AV440" s="15"/>
      <c r="AW440" s="15"/>
      <c r="AX440" s="15"/>
      <c r="AY440" s="15"/>
    </row>
    <row r="441" spans="1:51" s="2" customFormat="1" ht="23.1" hidden="1" customHeight="1" x14ac:dyDescent="0.25">
      <c r="A441" s="264" t="s">
        <v>685</v>
      </c>
      <c r="B441" s="98">
        <v>27801</v>
      </c>
      <c r="C441" s="99">
        <v>58000</v>
      </c>
      <c r="D441" s="100" t="s">
        <v>48</v>
      </c>
      <c r="E441" s="101" t="s">
        <v>1172</v>
      </c>
      <c r="F441" s="31" t="s">
        <v>1173</v>
      </c>
      <c r="G441" s="100" t="s">
        <v>36</v>
      </c>
      <c r="H441" s="100" t="s">
        <v>109</v>
      </c>
      <c r="I441" s="100" t="s">
        <v>52</v>
      </c>
      <c r="J441" s="100" t="s">
        <v>75</v>
      </c>
      <c r="K441" s="100"/>
      <c r="L441" s="102">
        <v>45626</v>
      </c>
      <c r="M441" s="103"/>
      <c r="N441" s="98" t="s">
        <v>1174</v>
      </c>
      <c r="O441" s="105">
        <v>575</v>
      </c>
      <c r="P441" s="98" t="s">
        <v>80</v>
      </c>
      <c r="Q441" s="258">
        <f>+O441/C441</f>
        <v>9.9137931034482766E-3</v>
      </c>
      <c r="R441" s="102">
        <v>45655</v>
      </c>
      <c r="S441" s="258" t="s">
        <v>65</v>
      </c>
      <c r="T441" s="34">
        <v>45672</v>
      </c>
      <c r="U441" s="100" t="s">
        <v>76</v>
      </c>
      <c r="V441" s="34" t="s">
        <v>1162</v>
      </c>
      <c r="W441" s="107" t="s">
        <v>1175</v>
      </c>
      <c r="X441" s="62">
        <f>53915-10783</f>
        <v>43132</v>
      </c>
      <c r="Y441" s="108" t="s">
        <v>46</v>
      </c>
      <c r="Z441" s="108"/>
      <c r="AA441" s="78"/>
      <c r="AB441" s="71">
        <v>45659</v>
      </c>
      <c r="AC441" s="71">
        <v>45672</v>
      </c>
      <c r="AD441" s="79"/>
      <c r="AE441" s="71">
        <v>45681</v>
      </c>
    </row>
    <row r="442" spans="1:51" s="30" customFormat="1" ht="23.1" hidden="1" customHeight="1" x14ac:dyDescent="0.25">
      <c r="A442" s="109" t="s">
        <v>718</v>
      </c>
      <c r="B442" s="22">
        <v>26986</v>
      </c>
      <c r="C442" s="246">
        <v>40000</v>
      </c>
      <c r="D442" s="256" t="s">
        <v>249</v>
      </c>
      <c r="E442" s="22" t="s">
        <v>1176</v>
      </c>
      <c r="F442" s="22"/>
      <c r="G442" s="22"/>
      <c r="H442" s="22" t="s">
        <v>37</v>
      </c>
      <c r="I442" s="22" t="s">
        <v>720</v>
      </c>
      <c r="J442" s="22" t="s">
        <v>62</v>
      </c>
      <c r="K442" s="22"/>
      <c r="L442" s="25">
        <v>45667</v>
      </c>
      <c r="M442" s="25"/>
      <c r="N442" s="22" t="s">
        <v>103</v>
      </c>
      <c r="O442" s="247">
        <v>6200</v>
      </c>
      <c r="P442" s="22" t="s">
        <v>80</v>
      </c>
      <c r="Q442" s="27"/>
      <c r="R442" s="217"/>
      <c r="S442" s="27"/>
      <c r="T442" s="24"/>
      <c r="U442" s="245" t="s">
        <v>66</v>
      </c>
      <c r="V442" s="25" t="s">
        <v>1166</v>
      </c>
      <c r="W442" s="24" t="s">
        <v>67</v>
      </c>
      <c r="X442" s="248">
        <v>96000</v>
      </c>
      <c r="Y442" s="24" t="s">
        <v>215</v>
      </c>
      <c r="Z442" s="24"/>
      <c r="AA442" s="78"/>
      <c r="AB442" s="78"/>
      <c r="AC442" s="71">
        <v>45672</v>
      </c>
      <c r="AD442" s="484"/>
      <c r="AE442" s="71">
        <v>45699</v>
      </c>
      <c r="AF442" s="15"/>
      <c r="AG442" s="15"/>
      <c r="AH442" s="15"/>
      <c r="AI442" s="15"/>
      <c r="AJ442" s="15"/>
      <c r="AK442" s="15"/>
      <c r="AL442" s="15"/>
      <c r="AM442" s="15"/>
      <c r="AN442" s="15"/>
      <c r="AO442" s="15"/>
      <c r="AP442" s="15"/>
      <c r="AQ442" s="15"/>
      <c r="AR442" s="15"/>
      <c r="AS442" s="15"/>
      <c r="AT442" s="15"/>
      <c r="AU442" s="15"/>
      <c r="AV442" s="15"/>
      <c r="AW442" s="15"/>
      <c r="AX442" s="15"/>
      <c r="AY442" s="15"/>
    </row>
    <row r="443" spans="1:51" s="30" customFormat="1" ht="24.95" hidden="1" customHeight="1" x14ac:dyDescent="0.25">
      <c r="A443" s="109" t="s">
        <v>392</v>
      </c>
      <c r="B443" s="22">
        <v>27554</v>
      </c>
      <c r="C443" s="23">
        <v>44000</v>
      </c>
      <c r="D443" s="22" t="s">
        <v>249</v>
      </c>
      <c r="E443" s="22" t="s">
        <v>789</v>
      </c>
      <c r="F443" s="22"/>
      <c r="G443" s="22"/>
      <c r="H443" s="22" t="s">
        <v>37</v>
      </c>
      <c r="I443" s="22" t="s">
        <v>394</v>
      </c>
      <c r="J443" s="22" t="s">
        <v>53</v>
      </c>
      <c r="K443" s="22"/>
      <c r="L443" s="255">
        <v>45677</v>
      </c>
      <c r="M443" s="25"/>
      <c r="N443" s="22" t="s">
        <v>45</v>
      </c>
      <c r="O443" s="26"/>
      <c r="P443" s="22"/>
      <c r="Q443" s="27"/>
      <c r="R443" s="217"/>
      <c r="S443" s="27"/>
      <c r="T443" s="24"/>
      <c r="U443" s="28" t="s">
        <v>66</v>
      </c>
      <c r="V443" s="25" t="s">
        <v>1177</v>
      </c>
      <c r="W443" s="24" t="s">
        <v>67</v>
      </c>
      <c r="X443" s="29">
        <v>114700</v>
      </c>
      <c r="Y443" s="24" t="s">
        <v>215</v>
      </c>
      <c r="Z443" s="261"/>
      <c r="AA443" s="351"/>
      <c r="AB443" s="351"/>
      <c r="AC443" s="351"/>
      <c r="AD443" s="6"/>
      <c r="AE443" s="71" t="s">
        <v>378</v>
      </c>
      <c r="AF443" s="15"/>
      <c r="AG443" s="15"/>
      <c r="AH443" s="15"/>
      <c r="AI443" s="15"/>
      <c r="AJ443" s="15"/>
      <c r="AK443" s="15"/>
      <c r="AL443" s="15"/>
      <c r="AM443" s="15"/>
      <c r="AN443" s="15"/>
      <c r="AO443" s="15"/>
      <c r="AP443" s="15"/>
      <c r="AQ443" s="15"/>
      <c r="AR443" s="15"/>
      <c r="AS443" s="15"/>
      <c r="AT443" s="15"/>
      <c r="AU443" s="15"/>
      <c r="AV443" s="15"/>
      <c r="AW443" s="15"/>
      <c r="AX443" s="15"/>
      <c r="AY443" s="15"/>
    </row>
    <row r="444" spans="1:51" s="30" customFormat="1" ht="23.1" hidden="1" customHeight="1" x14ac:dyDescent="0.25">
      <c r="A444" s="341" t="s">
        <v>615</v>
      </c>
      <c r="B444" s="31">
        <v>26494</v>
      </c>
      <c r="C444" s="32">
        <v>44000</v>
      </c>
      <c r="D444" s="31" t="s">
        <v>105</v>
      </c>
      <c r="E444" s="31" t="s">
        <v>616</v>
      </c>
      <c r="F444" s="31" t="s">
        <v>1178</v>
      </c>
      <c r="G444" s="31" t="s">
        <v>108</v>
      </c>
      <c r="H444" s="31" t="s">
        <v>51</v>
      </c>
      <c r="I444" s="31" t="s">
        <v>52</v>
      </c>
      <c r="J444" s="33"/>
      <c r="K444" s="33"/>
      <c r="L444" s="102">
        <v>45611</v>
      </c>
      <c r="M444" s="34"/>
      <c r="N444" s="31" t="s">
        <v>1174</v>
      </c>
      <c r="O444" s="35">
        <v>575</v>
      </c>
      <c r="P444" s="31" t="s">
        <v>80</v>
      </c>
      <c r="Q444" s="258">
        <f t="shared" ref="Q444:Q450" si="18">+O444/C444</f>
        <v>1.3068181818181817E-2</v>
      </c>
      <c r="R444" s="34">
        <v>45660</v>
      </c>
      <c r="S444" s="258" t="s">
        <v>121</v>
      </c>
      <c r="T444" s="102">
        <v>45673</v>
      </c>
      <c r="U444" s="100" t="s">
        <v>76</v>
      </c>
      <c r="V444" s="34" t="s">
        <v>1177</v>
      </c>
      <c r="W444" s="33" t="s">
        <v>67</v>
      </c>
      <c r="X444" s="62">
        <v>50000</v>
      </c>
      <c r="Y444" s="33" t="s">
        <v>46</v>
      </c>
      <c r="Z444" s="33"/>
      <c r="AA444" s="78"/>
      <c r="AB444" s="71">
        <v>45674</v>
      </c>
      <c r="AC444" s="71">
        <v>45675</v>
      </c>
      <c r="AD444" s="38"/>
      <c r="AE444" s="71">
        <v>45681</v>
      </c>
      <c r="AF444" s="15"/>
      <c r="AG444" s="15"/>
      <c r="AH444" s="15"/>
      <c r="AI444" s="15"/>
      <c r="AJ444" s="15"/>
      <c r="AK444" s="15"/>
      <c r="AL444" s="15"/>
      <c r="AM444" s="15"/>
      <c r="AN444" s="15"/>
      <c r="AO444" s="15"/>
      <c r="AP444" s="15"/>
      <c r="AQ444" s="15"/>
      <c r="AR444" s="15"/>
      <c r="AS444" s="15"/>
      <c r="AT444" s="15"/>
      <c r="AU444" s="15"/>
      <c r="AV444" s="15"/>
      <c r="AW444" s="15"/>
      <c r="AX444" s="15"/>
      <c r="AY444" s="15"/>
    </row>
    <row r="445" spans="1:51" s="15" customFormat="1" ht="23.1" hidden="1" customHeight="1" x14ac:dyDescent="0.25">
      <c r="A445" s="209" t="s">
        <v>364</v>
      </c>
      <c r="B445" s="6">
        <v>27962</v>
      </c>
      <c r="C445" s="5">
        <v>55000</v>
      </c>
      <c r="D445" s="167" t="s">
        <v>48</v>
      </c>
      <c r="E445" s="6" t="s">
        <v>737</v>
      </c>
      <c r="F445" s="6" t="s">
        <v>1179</v>
      </c>
      <c r="G445" s="6" t="s">
        <v>369</v>
      </c>
      <c r="H445" s="6" t="s">
        <v>1180</v>
      </c>
      <c r="I445" s="6" t="s">
        <v>52</v>
      </c>
      <c r="J445" s="6" t="s">
        <v>75</v>
      </c>
      <c r="K445" s="6"/>
      <c r="L445" s="7">
        <v>45609</v>
      </c>
      <c r="M445" s="7"/>
      <c r="N445" s="73" t="s">
        <v>1174</v>
      </c>
      <c r="O445" s="13">
        <v>545</v>
      </c>
      <c r="P445" s="6" t="s">
        <v>80</v>
      </c>
      <c r="Q445" s="19">
        <f t="shared" si="18"/>
        <v>9.9090909090909091E-3</v>
      </c>
      <c r="R445" s="148">
        <v>45663</v>
      </c>
      <c r="S445" s="41" t="s">
        <v>65</v>
      </c>
      <c r="T445" s="65">
        <v>45674</v>
      </c>
      <c r="U445" s="17" t="s">
        <v>76</v>
      </c>
      <c r="V445" s="7" t="s">
        <v>1177</v>
      </c>
      <c r="W445" s="10" t="s">
        <v>67</v>
      </c>
      <c r="X445" s="236">
        <v>80000</v>
      </c>
      <c r="Y445" s="11" t="s">
        <v>46</v>
      </c>
      <c r="Z445" s="171"/>
      <c r="AA445" s="351"/>
      <c r="AB445" s="71"/>
      <c r="AC445" s="7">
        <v>45674</v>
      </c>
      <c r="AD445" s="38"/>
      <c r="AE445" s="71">
        <v>45681</v>
      </c>
    </row>
    <row r="446" spans="1:51" s="2" customFormat="1" ht="23.1" hidden="1" customHeight="1" x14ac:dyDescent="0.25">
      <c r="A446" s="230" t="s">
        <v>175</v>
      </c>
      <c r="B446" s="98">
        <v>24495</v>
      </c>
      <c r="C446" s="99">
        <v>44000</v>
      </c>
      <c r="D446" s="100" t="s">
        <v>105</v>
      </c>
      <c r="E446" s="101" t="s">
        <v>360</v>
      </c>
      <c r="F446" s="31" t="s">
        <v>1181</v>
      </c>
      <c r="G446" s="100" t="s">
        <v>130</v>
      </c>
      <c r="H446" s="100" t="s">
        <v>37</v>
      </c>
      <c r="I446" s="100" t="s">
        <v>74</v>
      </c>
      <c r="J446" s="100" t="s">
        <v>75</v>
      </c>
      <c r="K446" s="100"/>
      <c r="L446" s="102">
        <v>45604</v>
      </c>
      <c r="M446" s="103" t="s">
        <v>861</v>
      </c>
      <c r="N446" s="31" t="s">
        <v>1174</v>
      </c>
      <c r="O446" s="105">
        <f>4270+400</f>
        <v>4670</v>
      </c>
      <c r="P446" s="98" t="s">
        <v>41</v>
      </c>
      <c r="Q446" s="258">
        <f t="shared" si="18"/>
        <v>0.10613636363636364</v>
      </c>
      <c r="R446" s="102">
        <v>45649</v>
      </c>
      <c r="S446" s="258" t="s">
        <v>65</v>
      </c>
      <c r="T446" s="34">
        <v>45676</v>
      </c>
      <c r="U446" s="100" t="s">
        <v>178</v>
      </c>
      <c r="V446" s="34" t="s">
        <v>1177</v>
      </c>
      <c r="W446" s="107" t="s">
        <v>1182</v>
      </c>
      <c r="X446" s="62">
        <v>31000</v>
      </c>
      <c r="Y446" s="108" t="s">
        <v>46</v>
      </c>
      <c r="Z446" s="108"/>
      <c r="AA446" s="78"/>
      <c r="AB446" s="71">
        <v>45674</v>
      </c>
      <c r="AC446" s="71">
        <v>45675</v>
      </c>
      <c r="AD446" s="79"/>
      <c r="AE446" s="71">
        <v>45681</v>
      </c>
    </row>
    <row r="447" spans="1:51" s="15" customFormat="1" ht="23.1" hidden="1" customHeight="1" x14ac:dyDescent="0.25">
      <c r="A447" s="16" t="s">
        <v>47</v>
      </c>
      <c r="B447" s="6">
        <v>27249</v>
      </c>
      <c r="C447" s="5">
        <v>55000</v>
      </c>
      <c r="D447" s="6" t="s">
        <v>48</v>
      </c>
      <c r="E447" s="6" t="s">
        <v>49</v>
      </c>
      <c r="F447" s="6" t="s">
        <v>1183</v>
      </c>
      <c r="G447" s="6" t="s">
        <v>36</v>
      </c>
      <c r="H447" s="6" t="s">
        <v>51</v>
      </c>
      <c r="I447" s="6" t="s">
        <v>52</v>
      </c>
      <c r="J447" s="6" t="s">
        <v>53</v>
      </c>
      <c r="K447" s="6"/>
      <c r="L447" s="7">
        <v>45629</v>
      </c>
      <c r="M447" s="7"/>
      <c r="N447" s="73" t="s">
        <v>40</v>
      </c>
      <c r="O447" s="13">
        <v>575</v>
      </c>
      <c r="P447" s="6" t="s">
        <v>80</v>
      </c>
      <c r="Q447" s="19">
        <f t="shared" si="18"/>
        <v>1.0454545454545454E-2</v>
      </c>
      <c r="R447" s="219"/>
      <c r="S447" s="36"/>
      <c r="T447" s="7">
        <v>45676</v>
      </c>
      <c r="U447" s="17" t="s">
        <v>43</v>
      </c>
      <c r="V447" s="7" t="s">
        <v>1177</v>
      </c>
      <c r="W447" s="10" t="s">
        <v>67</v>
      </c>
      <c r="X447" s="236">
        <v>26718</v>
      </c>
      <c r="Y447" s="11" t="s">
        <v>46</v>
      </c>
      <c r="Z447" s="171"/>
      <c r="AA447" s="351"/>
      <c r="AB447" s="71">
        <v>45677</v>
      </c>
      <c r="AC447" s="7">
        <v>45677</v>
      </c>
      <c r="AD447" s="38"/>
      <c r="AE447" s="71">
        <v>45681</v>
      </c>
    </row>
    <row r="448" spans="1:51" s="15" customFormat="1" ht="23.1" hidden="1" customHeight="1" x14ac:dyDescent="0.25">
      <c r="A448" s="16" t="s">
        <v>47</v>
      </c>
      <c r="B448" s="6">
        <v>27250</v>
      </c>
      <c r="C448" s="5">
        <v>55000</v>
      </c>
      <c r="D448" s="6" t="s">
        <v>48</v>
      </c>
      <c r="E448" s="6" t="s">
        <v>49</v>
      </c>
      <c r="F448" s="6" t="s">
        <v>1184</v>
      </c>
      <c r="G448" s="6" t="s">
        <v>36</v>
      </c>
      <c r="H448" s="6" t="s">
        <v>51</v>
      </c>
      <c r="I448" s="6" t="s">
        <v>52</v>
      </c>
      <c r="J448" s="6" t="s">
        <v>53</v>
      </c>
      <c r="K448" s="6"/>
      <c r="L448" s="7">
        <v>45629</v>
      </c>
      <c r="M448" s="7"/>
      <c r="N448" s="73" t="s">
        <v>40</v>
      </c>
      <c r="O448" s="13">
        <v>575</v>
      </c>
      <c r="P448" s="6" t="s">
        <v>80</v>
      </c>
      <c r="Q448" s="19">
        <f t="shared" si="18"/>
        <v>1.0454545454545454E-2</v>
      </c>
      <c r="R448" s="219"/>
      <c r="S448" s="36"/>
      <c r="T448" s="7">
        <v>45676</v>
      </c>
      <c r="U448" s="17" t="s">
        <v>43</v>
      </c>
      <c r="V448" s="7" t="s">
        <v>1177</v>
      </c>
      <c r="W448" s="10" t="s">
        <v>67</v>
      </c>
      <c r="X448" s="236">
        <v>26718</v>
      </c>
      <c r="Y448" s="11" t="s">
        <v>46</v>
      </c>
      <c r="Z448" s="171"/>
      <c r="AA448" s="351"/>
      <c r="AB448" s="71">
        <v>45677</v>
      </c>
      <c r="AC448" s="7">
        <v>45677</v>
      </c>
      <c r="AD448" s="38"/>
      <c r="AE448" s="71">
        <v>45681</v>
      </c>
    </row>
    <row r="449" spans="1:51" s="15" customFormat="1" ht="23.1" hidden="1" customHeight="1" x14ac:dyDescent="0.25">
      <c r="A449" s="425" t="s">
        <v>1185</v>
      </c>
      <c r="B449" s="6">
        <v>28303</v>
      </c>
      <c r="C449" s="5">
        <v>55000</v>
      </c>
      <c r="D449" s="6" t="s">
        <v>33</v>
      </c>
      <c r="E449" s="6" t="s">
        <v>146</v>
      </c>
      <c r="F449" s="6" t="s">
        <v>1186</v>
      </c>
      <c r="G449" s="6" t="s">
        <v>602</v>
      </c>
      <c r="H449" s="6" t="s">
        <v>51</v>
      </c>
      <c r="I449" s="6" t="s">
        <v>52</v>
      </c>
      <c r="J449" s="6" t="s">
        <v>75</v>
      </c>
      <c r="K449" s="6"/>
      <c r="L449" s="7">
        <v>45641</v>
      </c>
      <c r="M449" s="7"/>
      <c r="N449" s="6" t="s">
        <v>1187</v>
      </c>
      <c r="O449" s="13">
        <v>890</v>
      </c>
      <c r="P449" s="6" t="s">
        <v>80</v>
      </c>
      <c r="Q449" s="19">
        <f t="shared" si="18"/>
        <v>1.6181818181818183E-2</v>
      </c>
      <c r="R449" s="65">
        <v>45665</v>
      </c>
      <c r="S449" s="156" t="s">
        <v>65</v>
      </c>
      <c r="T449" s="7">
        <v>45676</v>
      </c>
      <c r="U449" s="46" t="s">
        <v>76</v>
      </c>
      <c r="V449" s="7" t="s">
        <v>1177</v>
      </c>
      <c r="W449" s="10" t="s">
        <v>67</v>
      </c>
      <c r="X449" s="236">
        <v>73750</v>
      </c>
      <c r="Y449" s="11" t="s">
        <v>46</v>
      </c>
      <c r="Z449" s="11"/>
      <c r="AA449" s="78"/>
      <c r="AB449" s="71">
        <v>45679</v>
      </c>
      <c r="AC449" s="71">
        <v>45676</v>
      </c>
      <c r="AD449" s="40"/>
      <c r="AE449" s="71" t="s">
        <v>791</v>
      </c>
    </row>
    <row r="450" spans="1:51" s="15" customFormat="1" ht="23.1" hidden="1" customHeight="1" x14ac:dyDescent="0.25">
      <c r="A450" s="425" t="s">
        <v>1185</v>
      </c>
      <c r="B450" s="6">
        <v>28304</v>
      </c>
      <c r="C450" s="5">
        <v>55000</v>
      </c>
      <c r="D450" s="6" t="s">
        <v>33</v>
      </c>
      <c r="E450" s="6" t="s">
        <v>146</v>
      </c>
      <c r="F450" s="6" t="s">
        <v>1188</v>
      </c>
      <c r="G450" s="6" t="s">
        <v>602</v>
      </c>
      <c r="H450" s="6" t="s">
        <v>51</v>
      </c>
      <c r="I450" s="6" t="s">
        <v>52</v>
      </c>
      <c r="J450" s="6" t="s">
        <v>75</v>
      </c>
      <c r="K450" s="6"/>
      <c r="L450" s="7">
        <v>45641</v>
      </c>
      <c r="M450" s="7"/>
      <c r="N450" s="6" t="s">
        <v>1187</v>
      </c>
      <c r="O450" s="13">
        <v>890</v>
      </c>
      <c r="P450" s="6" t="s">
        <v>80</v>
      </c>
      <c r="Q450" s="19">
        <f t="shared" si="18"/>
        <v>1.6181818181818183E-2</v>
      </c>
      <c r="R450" s="65">
        <v>45665</v>
      </c>
      <c r="S450" s="156" t="s">
        <v>65</v>
      </c>
      <c r="T450" s="7">
        <v>45676</v>
      </c>
      <c r="U450" s="46" t="s">
        <v>76</v>
      </c>
      <c r="V450" s="7" t="s">
        <v>1177</v>
      </c>
      <c r="W450" s="10" t="s">
        <v>67</v>
      </c>
      <c r="X450" s="236">
        <v>73750</v>
      </c>
      <c r="Y450" s="11" t="s">
        <v>46</v>
      </c>
      <c r="Z450" s="11"/>
      <c r="AA450" s="78"/>
      <c r="AB450" s="71">
        <v>45679</v>
      </c>
      <c r="AC450" s="71">
        <v>45676</v>
      </c>
      <c r="AD450" s="40"/>
      <c r="AE450" s="71" t="s">
        <v>791</v>
      </c>
    </row>
    <row r="451" spans="1:51" s="30" customFormat="1" ht="23.1" hidden="1" customHeight="1" x14ac:dyDescent="0.25">
      <c r="A451" s="21" t="s">
        <v>313</v>
      </c>
      <c r="B451" s="22">
        <v>26999</v>
      </c>
      <c r="C451" s="260">
        <v>41800</v>
      </c>
      <c r="D451" s="256" t="s">
        <v>249</v>
      </c>
      <c r="E451" s="256" t="s">
        <v>314</v>
      </c>
      <c r="F451" s="22"/>
      <c r="G451" s="22"/>
      <c r="H451" s="256" t="s">
        <v>315</v>
      </c>
      <c r="I451" s="22"/>
      <c r="J451" s="22" t="s">
        <v>62</v>
      </c>
      <c r="K451" s="22"/>
      <c r="L451" s="25">
        <v>45678</v>
      </c>
      <c r="M451" s="25"/>
      <c r="N451" s="22" t="s">
        <v>357</v>
      </c>
      <c r="O451" s="26">
        <v>2800</v>
      </c>
      <c r="P451" s="22" t="s">
        <v>80</v>
      </c>
      <c r="Q451" s="27"/>
      <c r="R451" s="217"/>
      <c r="S451" s="217"/>
      <c r="T451" s="24"/>
      <c r="U451" s="28" t="s">
        <v>66</v>
      </c>
      <c r="V451" s="25" t="s">
        <v>1177</v>
      </c>
      <c r="W451" s="24" t="s">
        <v>67</v>
      </c>
      <c r="X451" s="29">
        <v>30096</v>
      </c>
      <c r="Y451" s="24" t="s">
        <v>215</v>
      </c>
      <c r="Z451" s="261"/>
      <c r="AA451" s="351"/>
      <c r="AB451" s="351"/>
      <c r="AC451" s="7">
        <v>45680</v>
      </c>
      <c r="AD451" s="486" t="s">
        <v>1189</v>
      </c>
      <c r="AE451" s="263">
        <v>45688</v>
      </c>
      <c r="AF451" s="15"/>
      <c r="AG451" s="15"/>
      <c r="AH451" s="15"/>
      <c r="AI451" s="15"/>
      <c r="AJ451" s="15"/>
      <c r="AK451" s="15"/>
      <c r="AL451" s="15"/>
      <c r="AM451" s="15"/>
      <c r="AN451" s="15"/>
      <c r="AO451" s="15"/>
      <c r="AP451" s="15"/>
      <c r="AQ451" s="15"/>
      <c r="AR451" s="15"/>
      <c r="AS451" s="15"/>
      <c r="AT451" s="15"/>
      <c r="AU451" s="15"/>
      <c r="AV451" s="15"/>
      <c r="AW451" s="15"/>
      <c r="AX451" s="15"/>
      <c r="AY451" s="15"/>
    </row>
    <row r="452" spans="1:51" s="30" customFormat="1" ht="23.1" hidden="1" customHeight="1" x14ac:dyDescent="0.25">
      <c r="A452" s="109" t="s">
        <v>267</v>
      </c>
      <c r="B452" s="22">
        <v>28189</v>
      </c>
      <c r="C452" s="23">
        <v>40000</v>
      </c>
      <c r="D452" s="22" t="s">
        <v>249</v>
      </c>
      <c r="E452" s="22" t="s">
        <v>457</v>
      </c>
      <c r="F452" s="22"/>
      <c r="G452" s="22"/>
      <c r="H452" s="22" t="s">
        <v>37</v>
      </c>
      <c r="I452" s="22" t="s">
        <v>269</v>
      </c>
      <c r="J452" s="22" t="s">
        <v>62</v>
      </c>
      <c r="K452" s="22"/>
      <c r="L452" s="25">
        <v>45672</v>
      </c>
      <c r="M452" s="25"/>
      <c r="N452" s="22" t="s">
        <v>103</v>
      </c>
      <c r="O452" s="26">
        <v>6100</v>
      </c>
      <c r="P452" s="22" t="s">
        <v>80</v>
      </c>
      <c r="Q452" s="259"/>
      <c r="R452" s="244"/>
      <c r="S452" s="315"/>
      <c r="T452" s="55"/>
      <c r="U452" s="245" t="s">
        <v>66</v>
      </c>
      <c r="V452" s="25" t="s">
        <v>1177</v>
      </c>
      <c r="W452" s="24" t="s">
        <v>45</v>
      </c>
      <c r="X452" s="29">
        <v>114000</v>
      </c>
      <c r="Y452" s="24" t="s">
        <v>215</v>
      </c>
      <c r="Z452" s="24"/>
      <c r="AA452" s="78"/>
      <c r="AB452" s="78"/>
      <c r="AC452" s="64">
        <v>45676</v>
      </c>
      <c r="AD452" s="38"/>
      <c r="AE452" s="71">
        <v>45686</v>
      </c>
      <c r="AF452" s="15"/>
      <c r="AG452" s="15"/>
      <c r="AH452" s="15"/>
      <c r="AI452" s="15"/>
      <c r="AJ452" s="15"/>
      <c r="AK452" s="15"/>
      <c r="AL452" s="15"/>
      <c r="AM452" s="15"/>
      <c r="AN452" s="15"/>
      <c r="AO452" s="15"/>
      <c r="AP452" s="15"/>
      <c r="AQ452" s="15"/>
      <c r="AR452" s="15"/>
      <c r="AS452" s="15"/>
      <c r="AT452" s="15"/>
      <c r="AU452" s="15"/>
      <c r="AV452" s="15"/>
      <c r="AW452" s="15"/>
      <c r="AX452" s="15"/>
      <c r="AY452" s="15"/>
    </row>
    <row r="453" spans="1:51" s="30" customFormat="1" ht="23.1" hidden="1" customHeight="1" x14ac:dyDescent="0.25">
      <c r="A453" s="109" t="s">
        <v>251</v>
      </c>
      <c r="B453" s="22">
        <v>26654</v>
      </c>
      <c r="C453" s="23">
        <v>40500</v>
      </c>
      <c r="D453" s="22" t="s">
        <v>249</v>
      </c>
      <c r="E453" s="22" t="s">
        <v>828</v>
      </c>
      <c r="F453" s="22" t="s">
        <v>1190</v>
      </c>
      <c r="G453" s="22" t="s">
        <v>434</v>
      </c>
      <c r="H453" s="22" t="s">
        <v>37</v>
      </c>
      <c r="I453" s="22" t="s">
        <v>253</v>
      </c>
      <c r="J453" s="22" t="s">
        <v>62</v>
      </c>
      <c r="K453" s="22"/>
      <c r="L453" s="25">
        <v>45671</v>
      </c>
      <c r="M453" s="25"/>
      <c r="N453" s="22" t="s">
        <v>434</v>
      </c>
      <c r="O453" s="411">
        <f>3360*1.2125</f>
        <v>4073.9999999999995</v>
      </c>
      <c r="P453" s="22" t="s">
        <v>41</v>
      </c>
      <c r="Q453" s="26"/>
      <c r="R453" s="217"/>
      <c r="S453" s="27"/>
      <c r="T453" s="24"/>
      <c r="U453" s="28" t="s">
        <v>66</v>
      </c>
      <c r="V453" s="25" t="s">
        <v>1177</v>
      </c>
      <c r="W453" s="55" t="s">
        <v>45</v>
      </c>
      <c r="X453" s="29">
        <v>100080</v>
      </c>
      <c r="Y453" s="24" t="s">
        <v>215</v>
      </c>
      <c r="Z453" s="24"/>
      <c r="AA453" s="78"/>
      <c r="AB453" s="78"/>
      <c r="AC453" s="7">
        <v>45677</v>
      </c>
      <c r="AD453" s="316" t="s">
        <v>928</v>
      </c>
      <c r="AE453" s="71">
        <v>45671</v>
      </c>
      <c r="AF453" s="15"/>
      <c r="AG453" s="15"/>
      <c r="AH453" s="15"/>
      <c r="AI453" s="15"/>
      <c r="AJ453" s="15"/>
      <c r="AK453" s="15"/>
      <c r="AL453" s="15"/>
      <c r="AM453" s="15"/>
      <c r="AN453" s="15"/>
      <c r="AO453" s="15"/>
      <c r="AP453" s="15"/>
      <c r="AQ453" s="15"/>
      <c r="AR453" s="15"/>
      <c r="AS453" s="15"/>
      <c r="AT453" s="15"/>
      <c r="AU453" s="15"/>
      <c r="AV453" s="15"/>
      <c r="AW453" s="15"/>
      <c r="AX453" s="15"/>
      <c r="AY453" s="15"/>
    </row>
    <row r="454" spans="1:51" s="30" customFormat="1" ht="23.1" hidden="1" customHeight="1" x14ac:dyDescent="0.25">
      <c r="A454" s="21" t="s">
        <v>1031</v>
      </c>
      <c r="B454" s="256">
        <v>27601</v>
      </c>
      <c r="C454" s="246">
        <v>40000</v>
      </c>
      <c r="D454" s="256" t="s">
        <v>249</v>
      </c>
      <c r="E454" s="256" t="s">
        <v>1160</v>
      </c>
      <c r="F454" s="22" t="s">
        <v>1191</v>
      </c>
      <c r="G454" s="22" t="s">
        <v>434</v>
      </c>
      <c r="H454" s="22" t="s">
        <v>164</v>
      </c>
      <c r="I454" s="22" t="s">
        <v>1033</v>
      </c>
      <c r="J454" s="22" t="s">
        <v>62</v>
      </c>
      <c r="K454" s="22"/>
      <c r="L454" s="25">
        <v>45670</v>
      </c>
      <c r="M454" s="314"/>
      <c r="N454" s="22" t="s">
        <v>434</v>
      </c>
      <c r="O454" s="411">
        <f>3360*1.2075</f>
        <v>4057.2000000000003</v>
      </c>
      <c r="P454" s="22" t="s">
        <v>41</v>
      </c>
      <c r="Q454" s="27"/>
      <c r="R454" s="217"/>
      <c r="S454" s="27"/>
      <c r="T454" s="24"/>
      <c r="U454" s="245" t="s">
        <v>66</v>
      </c>
      <c r="V454" s="25" t="s">
        <v>1177</v>
      </c>
      <c r="W454" s="55" t="s">
        <v>358</v>
      </c>
      <c r="X454" s="412">
        <v>104000</v>
      </c>
      <c r="Y454" s="24" t="s">
        <v>215</v>
      </c>
      <c r="Z454" s="24"/>
      <c r="AA454" s="78"/>
      <c r="AB454" s="78"/>
      <c r="AC454" s="64">
        <v>45680</v>
      </c>
      <c r="AD454" s="38"/>
      <c r="AE454" s="263">
        <v>45687</v>
      </c>
      <c r="AF454" s="15"/>
      <c r="AG454" s="15"/>
      <c r="AH454" s="15"/>
      <c r="AI454" s="15"/>
      <c r="AJ454" s="15"/>
      <c r="AK454" s="15"/>
      <c r="AL454" s="15"/>
      <c r="AM454" s="15"/>
      <c r="AN454" s="15"/>
      <c r="AO454" s="15"/>
      <c r="AP454" s="15"/>
      <c r="AQ454" s="15"/>
      <c r="AR454" s="15"/>
      <c r="AS454" s="15"/>
      <c r="AT454" s="15"/>
      <c r="AU454" s="15"/>
      <c r="AV454" s="15"/>
      <c r="AW454" s="15"/>
      <c r="AX454" s="15"/>
      <c r="AY454" s="15"/>
    </row>
    <row r="455" spans="1:51" s="15" customFormat="1" ht="23.1" hidden="1" customHeight="1" x14ac:dyDescent="0.25">
      <c r="A455" s="425" t="s">
        <v>1192</v>
      </c>
      <c r="B455" s="167">
        <v>27653</v>
      </c>
      <c r="C455" s="168">
        <v>11575</v>
      </c>
      <c r="D455" s="881" t="s">
        <v>797</v>
      </c>
      <c r="E455" s="167" t="s">
        <v>863</v>
      </c>
      <c r="F455" s="6" t="s">
        <v>1193</v>
      </c>
      <c r="G455" s="167" t="s">
        <v>36</v>
      </c>
      <c r="H455" s="169" t="s">
        <v>37</v>
      </c>
      <c r="I455" s="169" t="s">
        <v>97</v>
      </c>
      <c r="J455" s="169" t="s">
        <v>98</v>
      </c>
      <c r="K455" s="169"/>
      <c r="L455" s="7">
        <v>45632</v>
      </c>
      <c r="M455" s="64" t="s">
        <v>39</v>
      </c>
      <c r="N455" s="6" t="s">
        <v>1154</v>
      </c>
      <c r="O455" s="177"/>
      <c r="P455" s="6" t="s">
        <v>41</v>
      </c>
      <c r="Q455" s="19">
        <f>+O455/C455</f>
        <v>0</v>
      </c>
      <c r="R455" s="415"/>
      <c r="S455" s="156"/>
      <c r="T455" s="7">
        <v>45679</v>
      </c>
      <c r="U455" s="67" t="s">
        <v>43</v>
      </c>
      <c r="V455" s="7" t="s">
        <v>1194</v>
      </c>
      <c r="W455" s="10" t="s">
        <v>45</v>
      </c>
      <c r="X455" s="236">
        <f>'SHIPMENT RECEIVED 2024-2025'!T432</f>
        <v>45661</v>
      </c>
      <c r="Y455" s="171" t="s">
        <v>46</v>
      </c>
      <c r="Z455" s="171"/>
      <c r="AA455" s="78"/>
      <c r="AB455" s="64">
        <v>45672</v>
      </c>
      <c r="AC455" s="64">
        <v>45677</v>
      </c>
      <c r="AD455" s="38"/>
      <c r="AE455" s="71">
        <v>45679</v>
      </c>
    </row>
    <row r="456" spans="1:51" s="15" customFormat="1" ht="23.1" hidden="1" customHeight="1" x14ac:dyDescent="0.25">
      <c r="A456" s="421" t="s">
        <v>136</v>
      </c>
      <c r="B456" s="167">
        <v>27522</v>
      </c>
      <c r="C456" s="168">
        <v>41888</v>
      </c>
      <c r="D456" s="882"/>
      <c r="E456" s="167" t="s">
        <v>1195</v>
      </c>
      <c r="F456" s="6" t="s">
        <v>1193</v>
      </c>
      <c r="G456" s="167" t="s">
        <v>36</v>
      </c>
      <c r="H456" s="169" t="s">
        <v>37</v>
      </c>
      <c r="I456" s="169" t="s">
        <v>97</v>
      </c>
      <c r="J456" s="169" t="s">
        <v>98</v>
      </c>
      <c r="K456" s="169"/>
      <c r="L456" s="7">
        <v>45632</v>
      </c>
      <c r="M456" s="64" t="s">
        <v>39</v>
      </c>
      <c r="N456" s="6"/>
      <c r="O456" s="177"/>
      <c r="P456" s="6"/>
      <c r="Q456" s="41"/>
      <c r="R456" s="415"/>
      <c r="S456" s="41"/>
      <c r="T456" s="7">
        <v>45679</v>
      </c>
      <c r="U456" s="67" t="s">
        <v>43</v>
      </c>
      <c r="V456" s="7" t="s">
        <v>1194</v>
      </c>
      <c r="W456" s="10" t="s">
        <v>45</v>
      </c>
      <c r="X456" s="236">
        <v>115601</v>
      </c>
      <c r="Y456" s="171" t="s">
        <v>68</v>
      </c>
      <c r="Z456" s="171"/>
      <c r="AA456" s="64">
        <v>45681</v>
      </c>
      <c r="AB456" s="64">
        <v>45681</v>
      </c>
      <c r="AC456" s="64">
        <v>45679</v>
      </c>
      <c r="AD456" s="38"/>
      <c r="AE456" s="71">
        <v>45679</v>
      </c>
    </row>
    <row r="457" spans="1:51" s="30" customFormat="1" ht="23.1" hidden="1" customHeight="1" x14ac:dyDescent="0.25">
      <c r="A457" s="209" t="s">
        <v>244</v>
      </c>
      <c r="B457" s="6">
        <v>27825</v>
      </c>
      <c r="C457" s="5">
        <v>44000</v>
      </c>
      <c r="D457" s="6" t="s">
        <v>33</v>
      </c>
      <c r="E457" s="6" t="s">
        <v>245</v>
      </c>
      <c r="F457" s="6" t="s">
        <v>1196</v>
      </c>
      <c r="G457" s="6" t="s">
        <v>108</v>
      </c>
      <c r="H457" s="6" t="s">
        <v>37</v>
      </c>
      <c r="I457" s="6" t="s">
        <v>246</v>
      </c>
      <c r="J457" s="6" t="s">
        <v>247</v>
      </c>
      <c r="K457" s="6"/>
      <c r="L457" s="7">
        <v>45620</v>
      </c>
      <c r="M457" s="7" t="s">
        <v>414</v>
      </c>
      <c r="N457" s="6" t="s">
        <v>1154</v>
      </c>
      <c r="O457" s="13">
        <f>4742.5+400</f>
        <v>5142.5</v>
      </c>
      <c r="P457" s="6" t="s">
        <v>41</v>
      </c>
      <c r="Q457" s="19">
        <f t="shared" ref="Q457:Q463" si="19">+O457/C457</f>
        <v>0.11687500000000001</v>
      </c>
      <c r="R457" s="219"/>
      <c r="S457" s="41"/>
      <c r="T457" s="65">
        <v>45680</v>
      </c>
      <c r="U457" s="46" t="s">
        <v>43</v>
      </c>
      <c r="V457" s="7" t="s">
        <v>1194</v>
      </c>
      <c r="W457" s="10" t="s">
        <v>45</v>
      </c>
      <c r="X457" s="236">
        <v>19000</v>
      </c>
      <c r="Y457" s="11" t="s">
        <v>68</v>
      </c>
      <c r="Z457" s="171"/>
      <c r="AA457" s="64">
        <v>45679</v>
      </c>
      <c r="AB457" s="64">
        <v>45680</v>
      </c>
      <c r="AC457" s="7">
        <v>45682</v>
      </c>
      <c r="AD457" s="242"/>
      <c r="AE457" s="71">
        <v>45680</v>
      </c>
      <c r="AF457" s="15"/>
      <c r="AG457" s="15"/>
      <c r="AH457" s="15"/>
      <c r="AI457" s="15"/>
      <c r="AJ457" s="15"/>
      <c r="AK457" s="15"/>
      <c r="AL457" s="15"/>
      <c r="AM457" s="15"/>
      <c r="AN457" s="15"/>
      <c r="AO457" s="15"/>
      <c r="AP457" s="15"/>
      <c r="AQ457" s="15"/>
      <c r="AR457" s="15"/>
      <c r="AS457" s="15"/>
      <c r="AT457" s="15"/>
      <c r="AU457" s="15"/>
      <c r="AV457" s="15"/>
      <c r="AW457" s="15"/>
      <c r="AX457" s="15"/>
    </row>
    <row r="458" spans="1:51" s="30" customFormat="1" ht="23.1" hidden="1" customHeight="1" x14ac:dyDescent="0.25">
      <c r="A458" s="16" t="s">
        <v>131</v>
      </c>
      <c r="B458" s="6">
        <v>27909</v>
      </c>
      <c r="C458" s="168">
        <v>55000</v>
      </c>
      <c r="D458" s="167" t="s">
        <v>33</v>
      </c>
      <c r="E458" s="167" t="s">
        <v>132</v>
      </c>
      <c r="F458" s="6" t="s">
        <v>1197</v>
      </c>
      <c r="G458" s="6" t="s">
        <v>108</v>
      </c>
      <c r="H458" s="167" t="s">
        <v>164</v>
      </c>
      <c r="I458" s="159" t="s">
        <v>319</v>
      </c>
      <c r="J458" s="6" t="s">
        <v>486</v>
      </c>
      <c r="K458" s="6"/>
      <c r="L458" s="7">
        <v>45637</v>
      </c>
      <c r="M458" s="7" t="s">
        <v>39</v>
      </c>
      <c r="N458" s="6"/>
      <c r="O458" s="13">
        <f>5450+400</f>
        <v>5850</v>
      </c>
      <c r="P458" s="6" t="s">
        <v>41</v>
      </c>
      <c r="Q458" s="41">
        <f t="shared" si="19"/>
        <v>0.10636363636363637</v>
      </c>
      <c r="R458" s="219"/>
      <c r="S458" s="178"/>
      <c r="T458" s="65">
        <v>45680</v>
      </c>
      <c r="U458" s="46" t="s">
        <v>43</v>
      </c>
      <c r="V458" s="7" t="s">
        <v>1194</v>
      </c>
      <c r="W458" s="10" t="s">
        <v>67</v>
      </c>
      <c r="X458" s="236">
        <v>71500</v>
      </c>
      <c r="Y458" s="11" t="s">
        <v>46</v>
      </c>
      <c r="Z458" s="11"/>
      <c r="AA458" s="78"/>
      <c r="AB458" s="64">
        <v>45684</v>
      </c>
      <c r="AC458" s="7">
        <v>45682</v>
      </c>
      <c r="AD458" s="242"/>
      <c r="AE458" s="71">
        <v>45686</v>
      </c>
      <c r="AF458" s="15"/>
      <c r="AG458" s="15"/>
      <c r="AH458" s="15"/>
      <c r="AI458" s="15"/>
      <c r="AJ458" s="15"/>
      <c r="AK458" s="15"/>
      <c r="AL458" s="15"/>
      <c r="AM458" s="15"/>
      <c r="AN458" s="15"/>
      <c r="AO458" s="15"/>
      <c r="AP458" s="15"/>
      <c r="AQ458" s="15"/>
      <c r="AR458" s="15"/>
      <c r="AS458" s="15"/>
      <c r="AT458" s="15"/>
      <c r="AU458" s="15"/>
      <c r="AV458" s="15"/>
      <c r="AW458" s="15"/>
      <c r="AX458" s="15"/>
      <c r="AY458" s="15"/>
    </row>
    <row r="459" spans="1:51" s="3" customFormat="1" ht="23.1" hidden="1" customHeight="1" x14ac:dyDescent="0.25">
      <c r="A459" s="16" t="s">
        <v>131</v>
      </c>
      <c r="B459" s="4">
        <v>28276</v>
      </c>
      <c r="C459" s="5">
        <v>36250</v>
      </c>
      <c r="D459" s="6" t="s">
        <v>105</v>
      </c>
      <c r="E459" s="254" t="s">
        <v>132</v>
      </c>
      <c r="F459" s="6" t="s">
        <v>1198</v>
      </c>
      <c r="G459" s="159" t="s">
        <v>108</v>
      </c>
      <c r="H459" s="159" t="s">
        <v>164</v>
      </c>
      <c r="I459" s="159" t="s">
        <v>319</v>
      </c>
      <c r="J459" s="4" t="s">
        <v>486</v>
      </c>
      <c r="K459" s="4"/>
      <c r="L459" s="7">
        <v>45630</v>
      </c>
      <c r="M459" s="7" t="s">
        <v>913</v>
      </c>
      <c r="O459" s="422">
        <f>3785+400</f>
        <v>4185</v>
      </c>
      <c r="P459" s="6" t="s">
        <v>41</v>
      </c>
      <c r="Q459" s="19">
        <f t="shared" si="19"/>
        <v>0.11544827586206896</v>
      </c>
      <c r="S459" s="178"/>
      <c r="T459" s="65">
        <v>45680</v>
      </c>
      <c r="U459" s="67" t="s">
        <v>43</v>
      </c>
      <c r="V459" s="7" t="s">
        <v>1194</v>
      </c>
      <c r="W459" s="10" t="s">
        <v>67</v>
      </c>
      <c r="X459" s="236">
        <v>45500</v>
      </c>
      <c r="Y459" s="11" t="s">
        <v>46</v>
      </c>
      <c r="Z459" s="11"/>
      <c r="AA459" s="78"/>
      <c r="AB459" s="64">
        <v>45684</v>
      </c>
      <c r="AC459" s="7">
        <v>45682</v>
      </c>
      <c r="AE459" s="71">
        <v>45686</v>
      </c>
      <c r="AF459" s="208"/>
      <c r="AG459" s="208"/>
      <c r="AH459" s="208"/>
      <c r="AI459" s="208"/>
      <c r="AJ459" s="208"/>
      <c r="AK459" s="208"/>
      <c r="AL459" s="208"/>
      <c r="AM459" s="208"/>
      <c r="AN459" s="208"/>
      <c r="AO459" s="208"/>
      <c r="AP459" s="208"/>
      <c r="AQ459" s="208"/>
      <c r="AR459" s="208"/>
      <c r="AS459" s="208"/>
      <c r="AT459" s="208"/>
      <c r="AU459" s="208"/>
    </row>
    <row r="460" spans="1:51" s="30" customFormat="1" ht="23.1" hidden="1" customHeight="1" x14ac:dyDescent="0.25">
      <c r="A460" s="21" t="s">
        <v>251</v>
      </c>
      <c r="B460" s="22">
        <v>27875</v>
      </c>
      <c r="C460" s="23">
        <v>40500</v>
      </c>
      <c r="D460" s="22" t="s">
        <v>249</v>
      </c>
      <c r="E460" s="22" t="s">
        <v>421</v>
      </c>
      <c r="F460" s="22" t="s">
        <v>1199</v>
      </c>
      <c r="G460" s="22" t="s">
        <v>434</v>
      </c>
      <c r="H460" s="22" t="s">
        <v>37</v>
      </c>
      <c r="I460" s="22" t="s">
        <v>253</v>
      </c>
      <c r="J460" s="22" t="s">
        <v>62</v>
      </c>
      <c r="K460" s="22"/>
      <c r="L460" s="25">
        <v>45677</v>
      </c>
      <c r="M460" s="25"/>
      <c r="N460" s="22" t="s">
        <v>434</v>
      </c>
      <c r="O460" s="411">
        <f>3360*1.2125</f>
        <v>4073.9999999999995</v>
      </c>
      <c r="P460" s="22" t="s">
        <v>41</v>
      </c>
      <c r="Q460" s="259">
        <f t="shared" si="19"/>
        <v>0.10059259259259258</v>
      </c>
      <c r="R460" s="217"/>
      <c r="S460" s="27"/>
      <c r="T460" s="24"/>
      <c r="U460" s="28" t="s">
        <v>66</v>
      </c>
      <c r="V460" s="25" t="s">
        <v>1194</v>
      </c>
      <c r="W460" s="55" t="s">
        <v>45</v>
      </c>
      <c r="X460" s="29">
        <v>119475</v>
      </c>
      <c r="Y460" s="24" t="s">
        <v>215</v>
      </c>
      <c r="Z460" s="24"/>
      <c r="AA460" s="78"/>
      <c r="AB460" s="78"/>
      <c r="AC460" s="7">
        <v>45683</v>
      </c>
      <c r="AD460" s="316" t="s">
        <v>1200</v>
      </c>
      <c r="AE460" s="71">
        <v>45678</v>
      </c>
      <c r="AF460" s="15"/>
      <c r="AG460" s="15"/>
      <c r="AH460" s="15"/>
      <c r="AI460" s="15"/>
      <c r="AJ460" s="15"/>
      <c r="AK460" s="15"/>
      <c r="AL460" s="15"/>
      <c r="AM460" s="15"/>
      <c r="AN460" s="15"/>
      <c r="AO460" s="15"/>
      <c r="AP460" s="15"/>
      <c r="AQ460" s="15"/>
      <c r="AR460" s="15"/>
      <c r="AS460" s="15"/>
      <c r="AT460" s="15"/>
      <c r="AU460" s="15"/>
      <c r="AV460" s="15"/>
      <c r="AW460" s="15"/>
      <c r="AX460" s="15"/>
      <c r="AY460" s="15"/>
    </row>
    <row r="461" spans="1:51" s="30" customFormat="1" ht="23.1" hidden="1" customHeight="1" x14ac:dyDescent="0.25">
      <c r="A461" s="109" t="s">
        <v>267</v>
      </c>
      <c r="B461" s="22">
        <v>28187</v>
      </c>
      <c r="C461" s="23">
        <v>40000</v>
      </c>
      <c r="D461" s="22" t="s">
        <v>249</v>
      </c>
      <c r="E461" s="22" t="s">
        <v>1201</v>
      </c>
      <c r="F461" s="22"/>
      <c r="G461" s="22" t="s">
        <v>441</v>
      </c>
      <c r="H461" s="22" t="s">
        <v>37</v>
      </c>
      <c r="I461" s="22" t="s">
        <v>269</v>
      </c>
      <c r="J461" s="22" t="s">
        <v>62</v>
      </c>
      <c r="K461" s="22"/>
      <c r="L461" s="25">
        <v>45681</v>
      </c>
      <c r="M461" s="25"/>
      <c r="N461" s="22"/>
      <c r="O461" s="411">
        <v>8100</v>
      </c>
      <c r="P461" s="22" t="s">
        <v>80</v>
      </c>
      <c r="Q461" s="259">
        <f t="shared" si="19"/>
        <v>0.20250000000000001</v>
      </c>
      <c r="R461" s="244"/>
      <c r="S461" s="315"/>
      <c r="T461" s="55"/>
      <c r="U461" s="245" t="s">
        <v>66</v>
      </c>
      <c r="V461" s="25" t="s">
        <v>1194</v>
      </c>
      <c r="W461" s="55" t="s">
        <v>45</v>
      </c>
      <c r="X461" s="29">
        <v>112000</v>
      </c>
      <c r="Y461" s="24" t="s">
        <v>215</v>
      </c>
      <c r="Z461" s="24"/>
      <c r="AA461" s="78"/>
      <c r="AB461" s="78"/>
      <c r="AC461" s="7">
        <v>45684</v>
      </c>
      <c r="AD461" s="38"/>
      <c r="AE461" s="71">
        <v>45686</v>
      </c>
      <c r="AF461" s="15"/>
      <c r="AG461" s="15"/>
      <c r="AH461" s="15"/>
      <c r="AI461" s="15"/>
      <c r="AJ461" s="15"/>
      <c r="AK461" s="15"/>
      <c r="AL461" s="15"/>
      <c r="AM461" s="15"/>
      <c r="AN461" s="15"/>
      <c r="AO461" s="15"/>
      <c r="AP461" s="15"/>
      <c r="AQ461" s="15"/>
      <c r="AR461" s="15"/>
      <c r="AS461" s="15"/>
      <c r="AT461" s="15"/>
      <c r="AU461" s="15"/>
      <c r="AV461" s="15"/>
      <c r="AW461" s="15"/>
      <c r="AX461" s="15"/>
      <c r="AY461" s="15"/>
    </row>
    <row r="462" spans="1:51" s="30" customFormat="1" ht="23.1" hidden="1" customHeight="1" x14ac:dyDescent="0.25">
      <c r="A462" s="109" t="s">
        <v>399</v>
      </c>
      <c r="B462" s="22">
        <v>28568</v>
      </c>
      <c r="C462" s="23">
        <v>55000</v>
      </c>
      <c r="D462" s="22" t="s">
        <v>249</v>
      </c>
      <c r="E462" s="22" t="s">
        <v>1081</v>
      </c>
      <c r="F462" s="22" t="s">
        <v>1202</v>
      </c>
      <c r="G462" s="22"/>
      <c r="H462" s="22" t="s">
        <v>60</v>
      </c>
      <c r="I462" s="22"/>
      <c r="J462" s="22" t="s">
        <v>53</v>
      </c>
      <c r="K462" s="22"/>
      <c r="L462" s="25">
        <v>45677</v>
      </c>
      <c r="M462" s="25"/>
      <c r="N462" s="22"/>
      <c r="O462" s="26"/>
      <c r="P462" s="22"/>
      <c r="Q462" s="259">
        <f t="shared" si="19"/>
        <v>0</v>
      </c>
      <c r="R462" s="244"/>
      <c r="S462" s="315"/>
      <c r="T462" s="55"/>
      <c r="U462" s="28" t="s">
        <v>66</v>
      </c>
      <c r="V462" s="25" t="s">
        <v>1194</v>
      </c>
      <c r="W462" s="55" t="s">
        <v>45</v>
      </c>
      <c r="X462" s="29">
        <v>31550</v>
      </c>
      <c r="Y462" s="24" t="s">
        <v>215</v>
      </c>
      <c r="Z462" s="24"/>
      <c r="AA462" s="78"/>
      <c r="AB462" s="78"/>
      <c r="AC462" s="78"/>
      <c r="AD462" s="38"/>
      <c r="AE462" s="71" t="s">
        <v>378</v>
      </c>
      <c r="AF462" s="15"/>
      <c r="AG462" s="15"/>
      <c r="AH462" s="15"/>
      <c r="AI462" s="15"/>
      <c r="AJ462" s="15"/>
      <c r="AK462" s="15"/>
      <c r="AL462" s="15"/>
      <c r="AM462" s="15"/>
      <c r="AN462" s="15"/>
      <c r="AO462" s="15"/>
      <c r="AP462" s="15"/>
      <c r="AQ462" s="15"/>
      <c r="AR462" s="15"/>
      <c r="AS462" s="15"/>
      <c r="AT462" s="15"/>
      <c r="AU462" s="15"/>
      <c r="AV462" s="15"/>
      <c r="AW462" s="15"/>
      <c r="AX462" s="15"/>
    </row>
    <row r="463" spans="1:51" s="30" customFormat="1" ht="23.1" hidden="1" customHeight="1" x14ac:dyDescent="0.25">
      <c r="A463" s="21" t="s">
        <v>267</v>
      </c>
      <c r="B463" s="22">
        <v>28183</v>
      </c>
      <c r="C463" s="23">
        <v>40000</v>
      </c>
      <c r="D463" s="22" t="s">
        <v>249</v>
      </c>
      <c r="E463" s="22" t="s">
        <v>1203</v>
      </c>
      <c r="F463" s="22" t="s">
        <v>1204</v>
      </c>
      <c r="G463" s="22" t="s">
        <v>434</v>
      </c>
      <c r="H463" s="22" t="s">
        <v>37</v>
      </c>
      <c r="I463" s="22" t="s">
        <v>269</v>
      </c>
      <c r="J463" s="22" t="s">
        <v>62</v>
      </c>
      <c r="K463" s="22"/>
      <c r="L463" s="25">
        <v>45674</v>
      </c>
      <c r="M463" s="25"/>
      <c r="N463" s="22" t="s">
        <v>434</v>
      </c>
      <c r="O463" s="411">
        <f>3600*1.2125</f>
        <v>4365</v>
      </c>
      <c r="P463" s="22" t="s">
        <v>41</v>
      </c>
      <c r="Q463" s="259">
        <f t="shared" si="19"/>
        <v>0.109125</v>
      </c>
      <c r="R463" s="244"/>
      <c r="S463" s="315"/>
      <c r="T463" s="55"/>
      <c r="U463" s="245" t="s">
        <v>66</v>
      </c>
      <c r="V463" s="25" t="s">
        <v>1194</v>
      </c>
      <c r="W463" s="55" t="s">
        <v>358</v>
      </c>
      <c r="X463" s="29">
        <v>130000</v>
      </c>
      <c r="Y463" s="24" t="s">
        <v>215</v>
      </c>
      <c r="Z463" s="24"/>
      <c r="AA463" s="78"/>
      <c r="AB463" s="78"/>
      <c r="AC463" s="7">
        <v>45685</v>
      </c>
      <c r="AD463" s="38"/>
      <c r="AE463" s="71">
        <v>45680</v>
      </c>
      <c r="AF463" s="15"/>
      <c r="AG463" s="15"/>
      <c r="AH463" s="15"/>
      <c r="AI463" s="15"/>
      <c r="AJ463" s="15"/>
      <c r="AK463" s="15"/>
      <c r="AL463" s="15"/>
      <c r="AM463" s="15"/>
      <c r="AN463" s="15"/>
      <c r="AO463" s="15"/>
      <c r="AP463" s="15"/>
      <c r="AQ463" s="15"/>
      <c r="AR463" s="15"/>
      <c r="AS463" s="15"/>
      <c r="AT463" s="15"/>
      <c r="AU463" s="15"/>
      <c r="AV463" s="15"/>
      <c r="AW463" s="15"/>
      <c r="AX463" s="15"/>
      <c r="AY463" s="15"/>
    </row>
    <row r="464" spans="1:51" s="30" customFormat="1" ht="24.95" hidden="1" customHeight="1" x14ac:dyDescent="0.25">
      <c r="A464" s="21" t="s">
        <v>392</v>
      </c>
      <c r="B464" s="22">
        <v>27559</v>
      </c>
      <c r="C464" s="23">
        <v>50000</v>
      </c>
      <c r="D464" s="22" t="s">
        <v>249</v>
      </c>
      <c r="E464" s="22" t="s">
        <v>778</v>
      </c>
      <c r="F464" s="22"/>
      <c r="G464" s="22"/>
      <c r="H464" s="22" t="s">
        <v>37</v>
      </c>
      <c r="I464" s="22" t="s">
        <v>394</v>
      </c>
      <c r="J464" s="22" t="s">
        <v>53</v>
      </c>
      <c r="K464" s="22"/>
      <c r="L464" s="255">
        <v>45688</v>
      </c>
      <c r="M464" s="25"/>
      <c r="N464" s="22"/>
      <c r="O464" s="26"/>
      <c r="P464" s="22"/>
      <c r="Q464" s="27"/>
      <c r="R464" s="217"/>
      <c r="S464" s="27"/>
      <c r="T464" s="24"/>
      <c r="U464" s="28" t="s">
        <v>66</v>
      </c>
      <c r="V464" s="25" t="s">
        <v>1194</v>
      </c>
      <c r="W464" s="55" t="s">
        <v>358</v>
      </c>
      <c r="X464" s="29">
        <v>119860</v>
      </c>
      <c r="Y464" s="24" t="s">
        <v>215</v>
      </c>
      <c r="Z464" s="24"/>
      <c r="AA464" s="78"/>
      <c r="AB464" s="78"/>
      <c r="AC464" s="78"/>
      <c r="AD464" s="6"/>
      <c r="AE464" s="71" t="s">
        <v>378</v>
      </c>
      <c r="AF464" s="15"/>
      <c r="AG464" s="15"/>
      <c r="AH464" s="15"/>
      <c r="AI464" s="15"/>
      <c r="AJ464" s="15"/>
      <c r="AK464" s="15"/>
      <c r="AL464" s="15"/>
      <c r="AM464" s="15"/>
      <c r="AN464" s="15"/>
      <c r="AO464" s="15"/>
      <c r="AP464" s="15"/>
      <c r="AQ464" s="15"/>
      <c r="AR464" s="15"/>
      <c r="AS464" s="15"/>
      <c r="AT464" s="15"/>
      <c r="AU464" s="15"/>
      <c r="AV464" s="15"/>
      <c r="AW464" s="15"/>
      <c r="AX464" s="15"/>
      <c r="AY464" s="15"/>
    </row>
    <row r="465" spans="1:51" s="15" customFormat="1" ht="23.1" hidden="1" customHeight="1" x14ac:dyDescent="0.25">
      <c r="A465" s="16" t="s">
        <v>1205</v>
      </c>
      <c r="B465" s="6">
        <v>27482</v>
      </c>
      <c r="C465" s="5">
        <v>48400</v>
      </c>
      <c r="D465" s="6" t="s">
        <v>48</v>
      </c>
      <c r="E465" s="6" t="s">
        <v>1206</v>
      </c>
      <c r="F465" s="6" t="s">
        <v>1207</v>
      </c>
      <c r="G465" s="167" t="s">
        <v>36</v>
      </c>
      <c r="H465" s="4" t="s">
        <v>37</v>
      </c>
      <c r="I465" s="4" t="s">
        <v>97</v>
      </c>
      <c r="J465" s="169" t="s">
        <v>98</v>
      </c>
      <c r="K465" s="169"/>
      <c r="L465" s="7">
        <v>45640</v>
      </c>
      <c r="M465" s="7" t="s">
        <v>913</v>
      </c>
      <c r="N465" s="73" t="s">
        <v>1154</v>
      </c>
      <c r="O465" s="13">
        <f>3890+400</f>
        <v>4290</v>
      </c>
      <c r="P465" s="6" t="s">
        <v>41</v>
      </c>
      <c r="Q465" s="19">
        <f>+O465/C465</f>
        <v>8.8636363636363638E-2</v>
      </c>
      <c r="R465" s="219"/>
      <c r="S465" s="41"/>
      <c r="T465" s="65">
        <v>45688</v>
      </c>
      <c r="U465" s="67" t="s">
        <v>43</v>
      </c>
      <c r="V465" s="7" t="s">
        <v>1208</v>
      </c>
      <c r="W465" s="10" t="s">
        <v>503</v>
      </c>
      <c r="X465" s="236">
        <f>57005</f>
        <v>57005</v>
      </c>
      <c r="Y465" s="11" t="s">
        <v>46</v>
      </c>
      <c r="Z465" s="171"/>
      <c r="AA465" s="351"/>
      <c r="AB465" s="7">
        <v>45688</v>
      </c>
      <c r="AC465" s="7">
        <v>45688</v>
      </c>
      <c r="AD465" s="38"/>
      <c r="AE465" s="71">
        <v>45687</v>
      </c>
    </row>
    <row r="466" spans="1:51" s="15" customFormat="1" ht="23.1" hidden="1" customHeight="1" x14ac:dyDescent="0.25">
      <c r="A466" s="209" t="s">
        <v>424</v>
      </c>
      <c r="B466" s="6">
        <v>27760</v>
      </c>
      <c r="C466" s="5">
        <v>40344</v>
      </c>
      <c r="D466" s="6" t="s">
        <v>105</v>
      </c>
      <c r="E466" s="6" t="s">
        <v>425</v>
      </c>
      <c r="F466" s="6" t="s">
        <v>1209</v>
      </c>
      <c r="G466" s="167" t="s">
        <v>687</v>
      </c>
      <c r="H466" s="4" t="s">
        <v>109</v>
      </c>
      <c r="I466" s="4" t="s">
        <v>52</v>
      </c>
      <c r="J466" s="4" t="s">
        <v>171</v>
      </c>
      <c r="K466" s="4"/>
      <c r="L466" s="7">
        <v>45616</v>
      </c>
      <c r="M466" s="7"/>
      <c r="N466" s="73"/>
      <c r="O466" s="13">
        <v>545</v>
      </c>
      <c r="P466" s="6" t="s">
        <v>80</v>
      </c>
      <c r="Q466" s="19">
        <f>+O466/C466</f>
        <v>1.350882411263137E-2</v>
      </c>
      <c r="R466" s="219"/>
      <c r="S466" s="41"/>
      <c r="T466" s="65">
        <v>45689</v>
      </c>
      <c r="U466" s="67" t="s">
        <v>43</v>
      </c>
      <c r="V466" s="7" t="s">
        <v>1208</v>
      </c>
      <c r="W466" s="10" t="s">
        <v>45</v>
      </c>
      <c r="X466" s="236">
        <v>20130</v>
      </c>
      <c r="Y466" s="11" t="s">
        <v>46</v>
      </c>
      <c r="Z466" s="171"/>
      <c r="AA466" s="351"/>
      <c r="AB466" s="7">
        <v>45690</v>
      </c>
      <c r="AC466" s="7">
        <v>45690</v>
      </c>
      <c r="AD466" s="38"/>
      <c r="AE466" s="71">
        <v>45687</v>
      </c>
    </row>
    <row r="467" spans="1:51" s="30" customFormat="1" ht="24.95" hidden="1" customHeight="1" x14ac:dyDescent="0.25">
      <c r="A467" s="21" t="s">
        <v>313</v>
      </c>
      <c r="B467" s="22">
        <v>27000</v>
      </c>
      <c r="C467" s="260">
        <v>41800</v>
      </c>
      <c r="D467" s="256" t="s">
        <v>249</v>
      </c>
      <c r="E467" s="256" t="s">
        <v>314</v>
      </c>
      <c r="F467" s="22"/>
      <c r="G467" s="22"/>
      <c r="H467" s="256" t="s">
        <v>315</v>
      </c>
      <c r="I467" s="22"/>
      <c r="J467" s="22" t="s">
        <v>62</v>
      </c>
      <c r="K467" s="22"/>
      <c r="L467" s="25">
        <v>45688</v>
      </c>
      <c r="M467" s="25"/>
      <c r="N467" s="22" t="s">
        <v>357</v>
      </c>
      <c r="O467" s="26">
        <v>2895</v>
      </c>
      <c r="P467" s="22" t="s">
        <v>80</v>
      </c>
      <c r="Q467" s="259">
        <f>+O467/C467</f>
        <v>6.925837320574163E-2</v>
      </c>
      <c r="R467" s="217"/>
      <c r="S467" s="262"/>
      <c r="T467" s="24"/>
      <c r="U467" s="245" t="s">
        <v>66</v>
      </c>
      <c r="V467" s="25" t="s">
        <v>1208</v>
      </c>
      <c r="W467" s="24" t="s">
        <v>67</v>
      </c>
      <c r="X467" s="29">
        <v>30096</v>
      </c>
      <c r="Y467" s="24" t="s">
        <v>215</v>
      </c>
      <c r="Z467" s="261"/>
      <c r="AA467" s="351"/>
      <c r="AB467" s="351"/>
      <c r="AC467" s="7">
        <v>45688</v>
      </c>
      <c r="AD467" s="486" t="s">
        <v>1189</v>
      </c>
      <c r="AE467" s="71">
        <v>45698</v>
      </c>
      <c r="AF467" s="15"/>
      <c r="AG467" s="15"/>
      <c r="AH467" s="15"/>
      <c r="AI467" s="15"/>
      <c r="AJ467" s="15"/>
      <c r="AK467" s="15"/>
      <c r="AL467" s="15"/>
      <c r="AM467" s="15"/>
      <c r="AN467" s="15"/>
      <c r="AO467" s="15"/>
      <c r="AP467" s="15"/>
      <c r="AQ467" s="15"/>
      <c r="AR467" s="15"/>
      <c r="AS467" s="15"/>
      <c r="AT467" s="15"/>
      <c r="AU467" s="15"/>
      <c r="AV467" s="15"/>
      <c r="AW467" s="15"/>
      <c r="AX467" s="15"/>
      <c r="AY467" s="15"/>
    </row>
    <row r="468" spans="1:51" s="30" customFormat="1" ht="24.95" hidden="1" customHeight="1" x14ac:dyDescent="0.25">
      <c r="A468" s="21" t="s">
        <v>1210</v>
      </c>
      <c r="B468" s="22">
        <v>28202</v>
      </c>
      <c r="C468" s="246">
        <v>40250</v>
      </c>
      <c r="D468" s="256" t="s">
        <v>249</v>
      </c>
      <c r="E468" s="22" t="s">
        <v>352</v>
      </c>
      <c r="F468" s="22"/>
      <c r="G468" s="22"/>
      <c r="H468" s="22" t="s">
        <v>164</v>
      </c>
      <c r="I468" s="22" t="s">
        <v>1211</v>
      </c>
      <c r="J468" s="22"/>
      <c r="K468" s="22"/>
      <c r="L468" s="25">
        <v>45685</v>
      </c>
      <c r="M468" s="25"/>
      <c r="N468" s="22" t="s">
        <v>441</v>
      </c>
      <c r="O468" s="247">
        <v>8100</v>
      </c>
      <c r="P468" s="22" t="s">
        <v>80</v>
      </c>
      <c r="Q468" s="259">
        <f>+O468/C468</f>
        <v>0.20124223602484473</v>
      </c>
      <c r="R468" s="217"/>
      <c r="S468" s="27"/>
      <c r="T468" s="24"/>
      <c r="U468" s="245" t="s">
        <v>66</v>
      </c>
      <c r="V468" s="25" t="s">
        <v>1208</v>
      </c>
      <c r="W468" s="24" t="s">
        <v>45</v>
      </c>
      <c r="X468" s="248">
        <v>128000</v>
      </c>
      <c r="Y468" s="24" t="s">
        <v>215</v>
      </c>
      <c r="Z468" s="24"/>
      <c r="AA468" s="78"/>
      <c r="AB468" s="78"/>
      <c r="AC468" s="7">
        <v>45691</v>
      </c>
      <c r="AD468" s="38"/>
      <c r="AE468" s="71">
        <v>45693</v>
      </c>
      <c r="AF468" s="15"/>
      <c r="AG468" s="15"/>
      <c r="AH468" s="15"/>
      <c r="AI468" s="15"/>
      <c r="AJ468" s="15"/>
      <c r="AK468" s="15"/>
      <c r="AL468" s="15"/>
      <c r="AM468" s="15"/>
      <c r="AN468" s="15"/>
      <c r="AO468" s="15"/>
      <c r="AP468" s="15"/>
      <c r="AQ468" s="15"/>
      <c r="AR468" s="15"/>
      <c r="AS468" s="15"/>
      <c r="AT468" s="15"/>
      <c r="AU468" s="15"/>
      <c r="AV468" s="15"/>
      <c r="AW468" s="15"/>
      <c r="AX468" s="15"/>
      <c r="AY468" s="15"/>
    </row>
    <row r="469" spans="1:51" s="30" customFormat="1" ht="24.95" hidden="1" customHeight="1" x14ac:dyDescent="0.25">
      <c r="A469" s="109" t="s">
        <v>113</v>
      </c>
      <c r="B469" s="22">
        <v>28572</v>
      </c>
      <c r="C469" s="23">
        <v>17280</v>
      </c>
      <c r="D469" s="22">
        <v>11</v>
      </c>
      <c r="E469" s="22" t="s">
        <v>1212</v>
      </c>
      <c r="F469" s="22"/>
      <c r="G469" s="22"/>
      <c r="H469" s="22" t="s">
        <v>164</v>
      </c>
      <c r="I469" s="22" t="s">
        <v>115</v>
      </c>
      <c r="J469" s="22" t="s">
        <v>62</v>
      </c>
      <c r="K469" s="22"/>
      <c r="L469" s="25">
        <v>45685</v>
      </c>
      <c r="M469" s="25"/>
      <c r="N469" s="22" t="s">
        <v>441</v>
      </c>
      <c r="O469" s="26">
        <v>5800</v>
      </c>
      <c r="P469" s="22" t="s">
        <v>80</v>
      </c>
      <c r="Q469" s="259">
        <f>+O469/C469</f>
        <v>0.33564814814814814</v>
      </c>
      <c r="R469" s="244"/>
      <c r="S469" s="315"/>
      <c r="T469" s="55"/>
      <c r="U469" s="245" t="s">
        <v>66</v>
      </c>
      <c r="V469" s="25" t="s">
        <v>1208</v>
      </c>
      <c r="W469" s="24" t="s">
        <v>45</v>
      </c>
      <c r="X469" s="29">
        <v>77328</v>
      </c>
      <c r="Y469" s="24" t="s">
        <v>215</v>
      </c>
      <c r="Z469" s="24"/>
      <c r="AA469" s="78"/>
      <c r="AB469" s="78"/>
      <c r="AC469" s="7">
        <v>45690</v>
      </c>
      <c r="AD469" s="48"/>
      <c r="AE469" s="71">
        <v>45692</v>
      </c>
      <c r="AF469" s="15"/>
      <c r="AG469" s="15"/>
      <c r="AH469" s="15"/>
      <c r="AI469" s="15"/>
      <c r="AJ469" s="15"/>
      <c r="AK469" s="15"/>
      <c r="AL469" s="15"/>
      <c r="AM469" s="15"/>
      <c r="AN469" s="15"/>
      <c r="AO469" s="15"/>
      <c r="AP469" s="15"/>
      <c r="AQ469" s="15"/>
      <c r="AR469" s="15"/>
      <c r="AS469" s="15"/>
      <c r="AT469" s="15"/>
      <c r="AU469" s="15"/>
      <c r="AV469" s="15"/>
      <c r="AW469" s="15"/>
      <c r="AX469" s="15"/>
      <c r="AY469" s="15"/>
    </row>
    <row r="470" spans="1:51" s="30" customFormat="1" ht="24.95" hidden="1" customHeight="1" x14ac:dyDescent="0.25">
      <c r="A470" s="21" t="s">
        <v>1136</v>
      </c>
      <c r="B470" s="22">
        <v>28640</v>
      </c>
      <c r="C470" s="23">
        <v>44792</v>
      </c>
      <c r="D470" s="22" t="s">
        <v>249</v>
      </c>
      <c r="E470" s="22" t="s">
        <v>1213</v>
      </c>
      <c r="F470" s="22"/>
      <c r="G470" s="22"/>
      <c r="H470" s="22" t="s">
        <v>60</v>
      </c>
      <c r="I470" s="22" t="s">
        <v>213</v>
      </c>
      <c r="J470" s="22" t="s">
        <v>53</v>
      </c>
      <c r="K470" s="22"/>
      <c r="L470" s="25"/>
      <c r="M470" s="25"/>
      <c r="N470" s="22"/>
      <c r="O470" s="26"/>
      <c r="P470" s="22"/>
      <c r="Q470" s="27"/>
      <c r="R470" s="217"/>
      <c r="S470" s="27"/>
      <c r="T470" s="24"/>
      <c r="U470" s="28" t="s">
        <v>66</v>
      </c>
      <c r="V470" s="25" t="s">
        <v>1208</v>
      </c>
      <c r="W470" s="24" t="s">
        <v>503</v>
      </c>
      <c r="X470" s="29">
        <v>134280</v>
      </c>
      <c r="Y470" s="24" t="s">
        <v>215</v>
      </c>
      <c r="Z470" s="261"/>
      <c r="AA470" s="351"/>
      <c r="AB470" s="351"/>
      <c r="AC470" s="351"/>
      <c r="AD470" s="38"/>
      <c r="AE470" s="71" t="s">
        <v>378</v>
      </c>
      <c r="AF470" s="15"/>
      <c r="AG470" s="15"/>
      <c r="AH470" s="15"/>
      <c r="AI470" s="15"/>
      <c r="AJ470" s="15"/>
      <c r="AK470" s="15"/>
      <c r="AL470" s="15"/>
      <c r="AM470" s="15"/>
      <c r="AN470" s="15"/>
      <c r="AO470" s="15"/>
      <c r="AP470" s="15"/>
      <c r="AQ470" s="15"/>
      <c r="AR470" s="15"/>
      <c r="AS470" s="15"/>
      <c r="AT470" s="15"/>
      <c r="AU470" s="15"/>
      <c r="AV470" s="15"/>
      <c r="AW470" s="15"/>
      <c r="AX470" s="15"/>
      <c r="AY470" s="15"/>
    </row>
    <row r="471" spans="1:51" s="30" customFormat="1" ht="24.95" hidden="1" customHeight="1" x14ac:dyDescent="0.25">
      <c r="A471" s="21" t="s">
        <v>392</v>
      </c>
      <c r="B471" s="22">
        <v>27556</v>
      </c>
      <c r="C471" s="23">
        <v>33500</v>
      </c>
      <c r="D471" s="22" t="s">
        <v>249</v>
      </c>
      <c r="E471" s="22" t="s">
        <v>1214</v>
      </c>
      <c r="F471" s="22"/>
      <c r="G471" s="22"/>
      <c r="H471" s="22" t="s">
        <v>37</v>
      </c>
      <c r="I471" s="22" t="s">
        <v>394</v>
      </c>
      <c r="J471" s="22" t="s">
        <v>53</v>
      </c>
      <c r="K471" s="22"/>
      <c r="L471" s="255">
        <v>45695</v>
      </c>
      <c r="M471" s="25"/>
      <c r="N471" s="22"/>
      <c r="O471" s="26"/>
      <c r="P471" s="22"/>
      <c r="Q471" s="27"/>
      <c r="R471" s="217"/>
      <c r="S471" s="27"/>
      <c r="T471" s="24"/>
      <c r="U471" s="28" t="s">
        <v>66</v>
      </c>
      <c r="V471" s="25" t="s">
        <v>1208</v>
      </c>
      <c r="W471" s="24" t="s">
        <v>358</v>
      </c>
      <c r="X471" s="29">
        <v>85274</v>
      </c>
      <c r="Y471" s="24" t="s">
        <v>215</v>
      </c>
      <c r="Z471" s="24"/>
      <c r="AA471" s="78"/>
      <c r="AB471" s="78"/>
      <c r="AC471" s="78"/>
      <c r="AD471" s="6"/>
      <c r="AE471" s="71" t="s">
        <v>378</v>
      </c>
      <c r="AF471" s="15"/>
      <c r="AG471" s="15"/>
      <c r="AH471" s="15"/>
      <c r="AI471" s="15"/>
      <c r="AJ471" s="15"/>
      <c r="AK471" s="15"/>
      <c r="AL471" s="15"/>
      <c r="AM471" s="15"/>
      <c r="AN471" s="15"/>
      <c r="AO471" s="15"/>
      <c r="AP471" s="15"/>
      <c r="AQ471" s="15"/>
      <c r="AR471" s="15"/>
      <c r="AS471" s="15"/>
      <c r="AT471" s="15"/>
      <c r="AU471" s="15"/>
      <c r="AV471" s="15"/>
      <c r="AW471" s="15"/>
      <c r="AX471" s="15"/>
      <c r="AY471" s="15"/>
    </row>
    <row r="472" spans="1:51" s="30" customFormat="1" ht="23.1" hidden="1" customHeight="1" x14ac:dyDescent="0.25">
      <c r="A472" s="21" t="s">
        <v>555</v>
      </c>
      <c r="B472" s="22">
        <v>29173</v>
      </c>
      <c r="C472" s="260"/>
      <c r="D472" s="256">
        <v>15</v>
      </c>
      <c r="E472" s="22" t="s">
        <v>1215</v>
      </c>
      <c r="F472" s="22"/>
      <c r="G472" s="22"/>
      <c r="H472" s="22"/>
      <c r="I472" s="22"/>
      <c r="J472" s="22"/>
      <c r="K472" s="22"/>
      <c r="L472" s="255">
        <v>45693</v>
      </c>
      <c r="M472" s="25"/>
      <c r="N472" s="22"/>
      <c r="O472" s="26"/>
      <c r="P472" s="22"/>
      <c r="Q472" s="27"/>
      <c r="R472" s="217"/>
      <c r="S472" s="262"/>
      <c r="T472" s="24"/>
      <c r="U472" s="28" t="s">
        <v>66</v>
      </c>
      <c r="V472" s="25" t="s">
        <v>1216</v>
      </c>
      <c r="W472" s="55" t="s">
        <v>358</v>
      </c>
      <c r="X472" s="29">
        <v>76705</v>
      </c>
      <c r="Y472" s="24" t="s">
        <v>215</v>
      </c>
      <c r="Z472" s="261"/>
      <c r="AA472" s="351"/>
      <c r="AB472" s="78"/>
      <c r="AC472" s="7">
        <v>45695</v>
      </c>
      <c r="AD472" s="48"/>
      <c r="AE472" s="71" t="s">
        <v>378</v>
      </c>
      <c r="AF472" s="15"/>
      <c r="AG472" s="15"/>
      <c r="AH472" s="15"/>
      <c r="AI472" s="15"/>
      <c r="AJ472" s="15"/>
      <c r="AK472" s="15"/>
      <c r="AL472" s="15"/>
      <c r="AM472" s="15"/>
      <c r="AN472" s="15"/>
      <c r="AO472" s="15"/>
      <c r="AP472" s="15"/>
      <c r="AQ472" s="15"/>
      <c r="AR472" s="15"/>
      <c r="AS472" s="15"/>
      <c r="AT472" s="15"/>
      <c r="AU472" s="15"/>
      <c r="AV472" s="15"/>
      <c r="AW472" s="15"/>
      <c r="AX472" s="15"/>
      <c r="AY472" s="15"/>
    </row>
    <row r="473" spans="1:51" s="15" customFormat="1" ht="18" hidden="1" x14ac:dyDescent="0.25">
      <c r="A473" s="16" t="s">
        <v>470</v>
      </c>
      <c r="B473" s="6">
        <v>27603</v>
      </c>
      <c r="C473" s="5">
        <v>55000</v>
      </c>
      <c r="D473" s="6" t="s">
        <v>33</v>
      </c>
      <c r="E473" s="167" t="s">
        <v>471</v>
      </c>
      <c r="F473" s="6" t="s">
        <v>1217</v>
      </c>
      <c r="G473" s="167" t="s">
        <v>36</v>
      </c>
      <c r="H473" s="6" t="s">
        <v>109</v>
      </c>
      <c r="I473" s="6" t="s">
        <v>52</v>
      </c>
      <c r="J473" s="11"/>
      <c r="K473" s="11"/>
      <c r="L473" s="7">
        <v>45614</v>
      </c>
      <c r="M473" s="7"/>
      <c r="N473" s="6"/>
      <c r="O473" s="250">
        <v>575</v>
      </c>
      <c r="P473" s="6" t="s">
        <v>80</v>
      </c>
      <c r="Q473" s="19">
        <f>+O473/C473</f>
        <v>1.0454545454545454E-2</v>
      </c>
      <c r="R473" s="65">
        <v>45656</v>
      </c>
      <c r="S473" s="41" t="s">
        <v>121</v>
      </c>
      <c r="T473" s="7">
        <v>45686</v>
      </c>
      <c r="U473" s="17" t="s">
        <v>76</v>
      </c>
      <c r="V473" s="7" t="s">
        <v>1216</v>
      </c>
      <c r="W473" s="10" t="s">
        <v>503</v>
      </c>
      <c r="X473" s="236">
        <v>57000</v>
      </c>
      <c r="Y473" s="11" t="s">
        <v>68</v>
      </c>
      <c r="Z473" s="11"/>
      <c r="AA473" s="7">
        <v>45695</v>
      </c>
      <c r="AB473" s="7">
        <v>45695</v>
      </c>
      <c r="AC473" s="7">
        <v>45687</v>
      </c>
      <c r="AD473" s="38"/>
      <c r="AE473" s="71">
        <v>45709</v>
      </c>
    </row>
    <row r="474" spans="1:51" s="15" customFormat="1" ht="23.1" hidden="1" customHeight="1" x14ac:dyDescent="0.25">
      <c r="A474" s="16" t="s">
        <v>470</v>
      </c>
      <c r="B474" s="6">
        <v>27604</v>
      </c>
      <c r="C474" s="5">
        <v>55000</v>
      </c>
      <c r="D474" s="6" t="s">
        <v>33</v>
      </c>
      <c r="E474" s="167" t="s">
        <v>471</v>
      </c>
      <c r="F474" s="6" t="s">
        <v>1218</v>
      </c>
      <c r="G474" s="167" t="s">
        <v>36</v>
      </c>
      <c r="H474" s="6" t="s">
        <v>109</v>
      </c>
      <c r="I474" s="6" t="s">
        <v>52</v>
      </c>
      <c r="J474" s="11"/>
      <c r="K474" s="11"/>
      <c r="L474" s="7">
        <v>45614</v>
      </c>
      <c r="M474" s="7"/>
      <c r="N474" s="6"/>
      <c r="O474" s="250">
        <v>575</v>
      </c>
      <c r="P474" s="6" t="s">
        <v>80</v>
      </c>
      <c r="Q474" s="19">
        <f>+O474/C474</f>
        <v>1.0454545454545454E-2</v>
      </c>
      <c r="R474" s="65">
        <v>45656</v>
      </c>
      <c r="S474" s="154" t="s">
        <v>121</v>
      </c>
      <c r="T474" s="7">
        <v>45686</v>
      </c>
      <c r="U474" s="17" t="s">
        <v>76</v>
      </c>
      <c r="V474" s="7" t="s">
        <v>1216</v>
      </c>
      <c r="W474" s="10" t="s">
        <v>503</v>
      </c>
      <c r="X474" s="236">
        <v>57000</v>
      </c>
      <c r="Y474" s="11" t="s">
        <v>68</v>
      </c>
      <c r="Z474" s="11"/>
      <c r="AA474" s="7">
        <v>45695</v>
      </c>
      <c r="AB474" s="7">
        <v>45695</v>
      </c>
      <c r="AC474" s="7">
        <v>45687</v>
      </c>
      <c r="AD474" s="38"/>
      <c r="AE474" s="71">
        <v>45709</v>
      </c>
    </row>
    <row r="475" spans="1:51" s="30" customFormat="1" ht="24.95" hidden="1" customHeight="1" x14ac:dyDescent="0.25">
      <c r="A475" s="109" t="s">
        <v>251</v>
      </c>
      <c r="B475" s="22">
        <v>27878</v>
      </c>
      <c r="C475" s="23">
        <v>40500</v>
      </c>
      <c r="D475" s="22" t="s">
        <v>249</v>
      </c>
      <c r="E475" s="22" t="s">
        <v>1219</v>
      </c>
      <c r="F475" s="22"/>
      <c r="G475" s="22"/>
      <c r="H475" s="22" t="s">
        <v>37</v>
      </c>
      <c r="I475" s="22" t="s">
        <v>253</v>
      </c>
      <c r="J475" s="22" t="s">
        <v>62</v>
      </c>
      <c r="K475" s="22"/>
      <c r="L475" s="25">
        <v>45692</v>
      </c>
      <c r="M475" s="25"/>
      <c r="N475" s="22" t="s">
        <v>103</v>
      </c>
      <c r="O475" s="26">
        <v>6985</v>
      </c>
      <c r="P475" s="22" t="s">
        <v>80</v>
      </c>
      <c r="Q475" s="259">
        <f>+O475/C475</f>
        <v>0.17246913580246914</v>
      </c>
      <c r="R475" s="217"/>
      <c r="S475" s="27"/>
      <c r="T475" s="24"/>
      <c r="U475" s="28" t="s">
        <v>66</v>
      </c>
      <c r="V475" s="25" t="s">
        <v>1216</v>
      </c>
      <c r="W475" s="24" t="s">
        <v>45</v>
      </c>
      <c r="X475" s="29">
        <v>120105</v>
      </c>
      <c r="Y475" s="24" t="s">
        <v>215</v>
      </c>
      <c r="Z475" s="24"/>
      <c r="AA475" s="78"/>
      <c r="AB475" s="78"/>
      <c r="AC475" s="7">
        <v>45697</v>
      </c>
      <c r="AD475" s="316" t="s">
        <v>1200</v>
      </c>
      <c r="AE475" s="71">
        <v>45717</v>
      </c>
      <c r="AF475" s="15"/>
      <c r="AG475" s="15"/>
      <c r="AH475" s="15"/>
      <c r="AI475" s="15"/>
      <c r="AJ475" s="15"/>
      <c r="AK475" s="15"/>
      <c r="AL475" s="15"/>
      <c r="AM475" s="15"/>
      <c r="AN475" s="15"/>
      <c r="AO475" s="15"/>
      <c r="AP475" s="15"/>
      <c r="AQ475" s="15"/>
      <c r="AR475" s="15"/>
      <c r="AS475" s="15"/>
      <c r="AT475" s="15"/>
      <c r="AU475" s="15"/>
      <c r="AV475" s="15"/>
      <c r="AW475" s="15"/>
      <c r="AX475" s="15"/>
      <c r="AY475" s="15"/>
    </row>
    <row r="476" spans="1:51" s="15" customFormat="1" ht="23.1" hidden="1" customHeight="1" x14ac:dyDescent="0.25">
      <c r="A476" s="209" t="s">
        <v>257</v>
      </c>
      <c r="B476" s="6">
        <v>28447</v>
      </c>
      <c r="C476" s="5">
        <v>44000</v>
      </c>
      <c r="D476" s="6" t="s">
        <v>105</v>
      </c>
      <c r="E476" s="6" t="s">
        <v>258</v>
      </c>
      <c r="F476" s="167" t="s">
        <v>1220</v>
      </c>
      <c r="G476" s="6" t="s">
        <v>36</v>
      </c>
      <c r="H476" s="6" t="s">
        <v>164</v>
      </c>
      <c r="I476" s="6" t="s">
        <v>97</v>
      </c>
      <c r="J476" s="6" t="s">
        <v>98</v>
      </c>
      <c r="K476" s="6"/>
      <c r="L476" s="7">
        <v>45645</v>
      </c>
      <c r="M476" s="7" t="s">
        <v>39</v>
      </c>
      <c r="N476" s="6"/>
      <c r="O476" s="13">
        <v>3465</v>
      </c>
      <c r="P476" s="6" t="s">
        <v>41</v>
      </c>
      <c r="Q476" s="19">
        <f>+O476/C476</f>
        <v>7.8750000000000001E-2</v>
      </c>
      <c r="R476" s="65"/>
      <c r="S476" s="154"/>
      <c r="T476" s="65">
        <v>45688</v>
      </c>
      <c r="U476" s="46" t="s">
        <v>43</v>
      </c>
      <c r="V476" s="7" t="s">
        <v>1216</v>
      </c>
      <c r="W476" s="10" t="s">
        <v>67</v>
      </c>
      <c r="X476" s="236">
        <v>78000</v>
      </c>
      <c r="Y476" s="11" t="s">
        <v>68</v>
      </c>
      <c r="Z476" s="171"/>
      <c r="AA476" s="64">
        <v>45699</v>
      </c>
      <c r="AB476" s="64">
        <v>45699</v>
      </c>
      <c r="AC476" s="7">
        <v>45688</v>
      </c>
      <c r="AD476" s="40"/>
      <c r="AE476" s="71">
        <v>45694</v>
      </c>
    </row>
    <row r="477" spans="1:51" s="15" customFormat="1" ht="23.1" hidden="1" customHeight="1" x14ac:dyDescent="0.25">
      <c r="A477" s="421" t="s">
        <v>136</v>
      </c>
      <c r="B477" s="167">
        <v>28277</v>
      </c>
      <c r="C477" s="168">
        <v>19800</v>
      </c>
      <c r="D477" s="881" t="s">
        <v>105</v>
      </c>
      <c r="E477" s="167" t="s">
        <v>1221</v>
      </c>
      <c r="F477" s="6" t="s">
        <v>1222</v>
      </c>
      <c r="G477" s="6" t="s">
        <v>36</v>
      </c>
      <c r="H477" s="169" t="s">
        <v>37</v>
      </c>
      <c r="I477" s="169" t="s">
        <v>97</v>
      </c>
      <c r="J477" s="169" t="s">
        <v>98</v>
      </c>
      <c r="K477" s="169"/>
      <c r="L477" s="7">
        <v>45643</v>
      </c>
      <c r="M477" s="7" t="s">
        <v>913</v>
      </c>
      <c r="N477" s="73"/>
      <c r="O477" s="177">
        <v>3890</v>
      </c>
      <c r="P477" s="6" t="s">
        <v>41</v>
      </c>
      <c r="Q477" s="19">
        <f>+O477/C477</f>
        <v>0.19646464646464645</v>
      </c>
      <c r="R477" s="415"/>
      <c r="S477" s="156"/>
      <c r="T477" s="65">
        <v>45688</v>
      </c>
      <c r="U477" s="67" t="s">
        <v>43</v>
      </c>
      <c r="V477" s="7" t="s">
        <v>1216</v>
      </c>
      <c r="W477" s="10" t="s">
        <v>67</v>
      </c>
      <c r="X477" s="236">
        <v>28200</v>
      </c>
      <c r="Y477" s="171" t="s">
        <v>68</v>
      </c>
      <c r="Z477" s="171"/>
      <c r="AA477" s="64">
        <v>45699</v>
      </c>
      <c r="AB477" s="64">
        <v>45699</v>
      </c>
      <c r="AC477" s="7">
        <v>45688</v>
      </c>
      <c r="AD477" s="38"/>
      <c r="AE477" s="71">
        <v>45694</v>
      </c>
    </row>
    <row r="478" spans="1:51" s="15" customFormat="1" ht="23.1" hidden="1" customHeight="1" x14ac:dyDescent="0.25">
      <c r="A478" s="427" t="s">
        <v>524</v>
      </c>
      <c r="B478" s="167">
        <v>27440</v>
      </c>
      <c r="C478" s="168">
        <v>8800</v>
      </c>
      <c r="D478" s="882"/>
      <c r="E478" s="167" t="s">
        <v>525</v>
      </c>
      <c r="F478" s="6" t="s">
        <v>1222</v>
      </c>
      <c r="G478" s="6" t="s">
        <v>36</v>
      </c>
      <c r="H478" s="169" t="s">
        <v>37</v>
      </c>
      <c r="I478" s="169" t="s">
        <v>97</v>
      </c>
      <c r="J478" s="169" t="s">
        <v>98</v>
      </c>
      <c r="K478" s="169"/>
      <c r="L478" s="7">
        <v>45643</v>
      </c>
      <c r="M478" s="64"/>
      <c r="N478" s="73"/>
      <c r="O478" s="177"/>
      <c r="P478" s="6"/>
      <c r="Q478" s="19"/>
      <c r="R478" s="219"/>
      <c r="S478" s="41"/>
      <c r="T478" s="65">
        <v>45688</v>
      </c>
      <c r="U478" s="67" t="s">
        <v>43</v>
      </c>
      <c r="V478" s="7" t="s">
        <v>1216</v>
      </c>
      <c r="W478" s="10" t="s">
        <v>67</v>
      </c>
      <c r="X478" s="236">
        <v>15600</v>
      </c>
      <c r="Y478" s="171" t="s">
        <v>68</v>
      </c>
      <c r="Z478" s="171"/>
      <c r="AA478" s="64">
        <v>45699</v>
      </c>
      <c r="AB478" s="64">
        <v>45699</v>
      </c>
      <c r="AC478" s="7">
        <v>45688</v>
      </c>
      <c r="AD478" s="38"/>
      <c r="AE478" s="71">
        <v>45694</v>
      </c>
    </row>
    <row r="479" spans="1:51" s="15" customFormat="1" ht="24.95" hidden="1" customHeight="1" x14ac:dyDescent="0.25">
      <c r="A479" s="209" t="s">
        <v>463</v>
      </c>
      <c r="B479" s="6">
        <v>27751</v>
      </c>
      <c r="C479" s="5">
        <v>50000</v>
      </c>
      <c r="D479" s="6" t="s">
        <v>48</v>
      </c>
      <c r="E479" s="6" t="s">
        <v>1223</v>
      </c>
      <c r="F479" s="6" t="s">
        <v>1224</v>
      </c>
      <c r="G479" s="6" t="s">
        <v>119</v>
      </c>
      <c r="H479" s="6" t="s">
        <v>51</v>
      </c>
      <c r="I479" s="6" t="s">
        <v>52</v>
      </c>
      <c r="J479" s="6" t="s">
        <v>466</v>
      </c>
      <c r="K479" s="6"/>
      <c r="L479" s="7">
        <v>45681</v>
      </c>
      <c r="M479" s="7"/>
      <c r="N479" s="6" t="s">
        <v>1154</v>
      </c>
      <c r="O479" s="13">
        <v>725</v>
      </c>
      <c r="P479" s="6" t="s">
        <v>80</v>
      </c>
      <c r="Q479" s="19">
        <f>+O479/C479</f>
        <v>1.4500000000000001E-2</v>
      </c>
      <c r="R479" s="7"/>
      <c r="S479" s="41"/>
      <c r="T479" s="65">
        <v>45698</v>
      </c>
      <c r="U479" s="46" t="s">
        <v>43</v>
      </c>
      <c r="V479" s="7" t="s">
        <v>1216</v>
      </c>
      <c r="W479" s="10" t="s">
        <v>45</v>
      </c>
      <c r="X479" s="236">
        <v>57830</v>
      </c>
      <c r="Y479" s="11" t="s">
        <v>46</v>
      </c>
      <c r="Z479" s="11"/>
      <c r="AA479" s="78"/>
      <c r="AB479" s="7">
        <v>45700</v>
      </c>
      <c r="AC479" s="7">
        <v>45698</v>
      </c>
      <c r="AD479" s="40"/>
      <c r="AE479" s="71">
        <v>45709</v>
      </c>
    </row>
    <row r="480" spans="1:51" s="3" customFormat="1" ht="23.1" hidden="1" customHeight="1" x14ac:dyDescent="0.25">
      <c r="A480" s="209" t="s">
        <v>1225</v>
      </c>
      <c r="B480" s="4">
        <v>27652</v>
      </c>
      <c r="C480" s="5">
        <v>52800</v>
      </c>
      <c r="D480" s="6" t="s">
        <v>33</v>
      </c>
      <c r="E480" s="254" t="s">
        <v>1226</v>
      </c>
      <c r="F480" s="6" t="s">
        <v>1227</v>
      </c>
      <c r="G480" s="159" t="s">
        <v>687</v>
      </c>
      <c r="H480" s="159" t="s">
        <v>109</v>
      </c>
      <c r="I480" s="159" t="s">
        <v>52</v>
      </c>
      <c r="J480" s="159" t="s">
        <v>156</v>
      </c>
      <c r="K480" s="159"/>
      <c r="L480" s="7">
        <v>45639</v>
      </c>
      <c r="N480" s="159" t="s">
        <v>1228</v>
      </c>
      <c r="O480" s="422">
        <v>575</v>
      </c>
      <c r="P480" s="6" t="s">
        <v>80</v>
      </c>
      <c r="Q480" s="19">
        <f>+O480/C480</f>
        <v>1.0890151515151516E-2</v>
      </c>
      <c r="R480" s="65">
        <v>45683</v>
      </c>
      <c r="S480" s="41" t="s">
        <v>494</v>
      </c>
      <c r="T480" s="65">
        <v>45691</v>
      </c>
      <c r="U480" s="46" t="s">
        <v>76</v>
      </c>
      <c r="V480" s="7" t="s">
        <v>1216</v>
      </c>
      <c r="W480" s="10" t="s">
        <v>45</v>
      </c>
      <c r="X480" s="236">
        <v>68400</v>
      </c>
      <c r="Y480" s="11" t="s">
        <v>46</v>
      </c>
      <c r="Z480" s="11"/>
      <c r="AA480" s="78"/>
      <c r="AB480" s="7">
        <v>45701</v>
      </c>
      <c r="AC480" s="7">
        <v>45691</v>
      </c>
      <c r="AD480" s="3" t="s">
        <v>1229</v>
      </c>
      <c r="AE480" s="71">
        <v>45700</v>
      </c>
      <c r="AF480" s="208"/>
      <c r="AG480" s="208"/>
      <c r="AH480" s="208"/>
      <c r="AI480" s="208"/>
      <c r="AJ480" s="208"/>
      <c r="AK480" s="208"/>
      <c r="AL480" s="208"/>
      <c r="AM480" s="208"/>
      <c r="AN480" s="208"/>
      <c r="AO480" s="208"/>
      <c r="AP480" s="208"/>
      <c r="AQ480" s="208"/>
      <c r="AR480" s="208"/>
      <c r="AS480" s="208"/>
      <c r="AT480" s="208"/>
      <c r="AU480" s="208"/>
    </row>
    <row r="481" spans="1:51" s="15" customFormat="1" ht="23.1" hidden="1" customHeight="1" x14ac:dyDescent="0.25">
      <c r="A481" s="425" t="s">
        <v>1230</v>
      </c>
      <c r="B481" s="6">
        <v>27815</v>
      </c>
      <c r="C481" s="5">
        <v>44000</v>
      </c>
      <c r="D481" s="169" t="s">
        <v>48</v>
      </c>
      <c r="E481" s="6" t="s">
        <v>1231</v>
      </c>
      <c r="F481" s="6" t="s">
        <v>1232</v>
      </c>
      <c r="G481" s="6" t="s">
        <v>687</v>
      </c>
      <c r="H481" s="6" t="s">
        <v>51</v>
      </c>
      <c r="I481" s="6" t="s">
        <v>52</v>
      </c>
      <c r="J481" s="6" t="s">
        <v>171</v>
      </c>
      <c r="K481" s="6"/>
      <c r="L481" s="7">
        <v>45612</v>
      </c>
      <c r="M481" s="7"/>
      <c r="N481" s="6"/>
      <c r="O481" s="13">
        <v>575</v>
      </c>
      <c r="P481" s="6" t="s">
        <v>80</v>
      </c>
      <c r="Q481" s="19">
        <f>+O481/C481</f>
        <v>1.3068181818181817E-2</v>
      </c>
      <c r="R481" s="65"/>
      <c r="S481" s="154"/>
      <c r="T481" s="65">
        <v>45698</v>
      </c>
      <c r="U481" s="46" t="s">
        <v>43</v>
      </c>
      <c r="V481" s="7" t="s">
        <v>1216</v>
      </c>
      <c r="W481" s="10" t="s">
        <v>67</v>
      </c>
      <c r="X481" s="236">
        <f>28800-5760</f>
        <v>23040</v>
      </c>
      <c r="Y481" s="11" t="s">
        <v>46</v>
      </c>
      <c r="Z481" s="171"/>
      <c r="AA481" s="64">
        <v>45680</v>
      </c>
      <c r="AB481" s="7"/>
      <c r="AC481" s="7">
        <v>45698</v>
      </c>
      <c r="AD481" s="40"/>
      <c r="AE481" s="71">
        <v>45709</v>
      </c>
    </row>
    <row r="482" spans="1:51" s="30" customFormat="1" ht="21" hidden="1" customHeight="1" x14ac:dyDescent="0.25">
      <c r="A482" s="109" t="s">
        <v>259</v>
      </c>
      <c r="B482" s="22">
        <v>28773</v>
      </c>
      <c r="C482" s="260"/>
      <c r="D482" s="256" t="s">
        <v>249</v>
      </c>
      <c r="E482" s="22" t="s">
        <v>819</v>
      </c>
      <c r="F482" s="22"/>
      <c r="G482" s="22"/>
      <c r="H482" s="22" t="s">
        <v>37</v>
      </c>
      <c r="I482" s="22"/>
      <c r="J482" s="22" t="s">
        <v>53</v>
      </c>
      <c r="K482" s="22"/>
      <c r="L482" s="255">
        <v>45702</v>
      </c>
      <c r="M482" s="25"/>
      <c r="N482" s="22"/>
      <c r="O482" s="26"/>
      <c r="P482" s="22"/>
      <c r="Q482" s="27"/>
      <c r="R482" s="217"/>
      <c r="S482" s="262"/>
      <c r="T482" s="24"/>
      <c r="U482" s="28" t="s">
        <v>66</v>
      </c>
      <c r="V482" s="25" t="s">
        <v>1216</v>
      </c>
      <c r="W482" s="55" t="s">
        <v>67</v>
      </c>
      <c r="X482" s="29">
        <v>60426</v>
      </c>
      <c r="Y482" s="24" t="s">
        <v>215</v>
      </c>
      <c r="Z482" s="261"/>
      <c r="AA482" s="351"/>
      <c r="AB482" s="78"/>
      <c r="AC482" s="78"/>
      <c r="AD482" s="48"/>
      <c r="AE482" s="71" t="s">
        <v>378</v>
      </c>
      <c r="AF482" s="15"/>
      <c r="AG482" s="15"/>
      <c r="AH482" s="15"/>
      <c r="AI482" s="15"/>
      <c r="AJ482" s="15"/>
      <c r="AK482" s="15"/>
      <c r="AL482" s="15"/>
      <c r="AM482" s="15"/>
      <c r="AN482" s="15"/>
      <c r="AO482" s="15"/>
      <c r="AP482" s="15"/>
      <c r="AQ482" s="15"/>
      <c r="AR482" s="15"/>
      <c r="AS482" s="15"/>
      <c r="AT482" s="15"/>
      <c r="AU482" s="15"/>
      <c r="AV482" s="15"/>
      <c r="AW482" s="15"/>
      <c r="AX482" s="15"/>
      <c r="AY482" s="15"/>
    </row>
    <row r="483" spans="1:51" s="30" customFormat="1" ht="21" hidden="1" customHeight="1" x14ac:dyDescent="0.25">
      <c r="A483" s="21" t="s">
        <v>392</v>
      </c>
      <c r="B483" s="22">
        <v>27557</v>
      </c>
      <c r="C483" s="260">
        <v>44000</v>
      </c>
      <c r="D483" s="256" t="s">
        <v>249</v>
      </c>
      <c r="E483" s="22" t="s">
        <v>789</v>
      </c>
      <c r="F483" s="22"/>
      <c r="G483" s="22"/>
      <c r="H483" s="22" t="s">
        <v>37</v>
      </c>
      <c r="I483" s="22" t="s">
        <v>394</v>
      </c>
      <c r="J483" s="22" t="s">
        <v>53</v>
      </c>
      <c r="K483" s="22"/>
      <c r="L483" s="255">
        <v>45702</v>
      </c>
      <c r="M483" s="25"/>
      <c r="N483" s="22"/>
      <c r="O483" s="26"/>
      <c r="P483" s="22"/>
      <c r="Q483" s="27"/>
      <c r="R483" s="217"/>
      <c r="S483" s="27"/>
      <c r="T483" s="24"/>
      <c r="U483" s="28" t="s">
        <v>66</v>
      </c>
      <c r="V483" s="25" t="s">
        <v>1233</v>
      </c>
      <c r="W483" s="55" t="s">
        <v>358</v>
      </c>
      <c r="X483" s="29">
        <v>114700</v>
      </c>
      <c r="Y483" s="24" t="s">
        <v>215</v>
      </c>
      <c r="Z483" s="261"/>
      <c r="AA483" s="351"/>
      <c r="AB483" s="78"/>
      <c r="AC483" s="78"/>
      <c r="AD483" s="48"/>
      <c r="AE483" s="71" t="s">
        <v>378</v>
      </c>
      <c r="AF483" s="15"/>
      <c r="AG483" s="15"/>
      <c r="AH483" s="15"/>
      <c r="AI483" s="15"/>
      <c r="AJ483" s="15"/>
      <c r="AK483" s="15"/>
      <c r="AL483" s="15"/>
      <c r="AM483" s="15"/>
      <c r="AN483" s="15"/>
      <c r="AO483" s="15"/>
      <c r="AP483" s="15"/>
      <c r="AQ483" s="15"/>
      <c r="AR483" s="15"/>
      <c r="AS483" s="15"/>
      <c r="AT483" s="15"/>
      <c r="AU483" s="15"/>
      <c r="AV483" s="15"/>
      <c r="AW483" s="15"/>
      <c r="AX483" s="15"/>
      <c r="AY483" s="15"/>
    </row>
    <row r="484" spans="1:51" s="15" customFormat="1" ht="23.1" hidden="1" customHeight="1" x14ac:dyDescent="0.25">
      <c r="A484" s="561" t="s">
        <v>470</v>
      </c>
      <c r="B484" s="6">
        <v>28129</v>
      </c>
      <c r="C484" s="5">
        <v>55000</v>
      </c>
      <c r="D484" s="6" t="s">
        <v>33</v>
      </c>
      <c r="E484" s="6" t="s">
        <v>471</v>
      </c>
      <c r="F484" s="6" t="s">
        <v>1234</v>
      </c>
      <c r="G484" s="6" t="s">
        <v>36</v>
      </c>
      <c r="H484" s="4" t="s">
        <v>109</v>
      </c>
      <c r="I484" s="4" t="s">
        <v>52</v>
      </c>
      <c r="J484" s="4" t="s">
        <v>473</v>
      </c>
      <c r="K484" s="4"/>
      <c r="L484" s="7">
        <v>45634</v>
      </c>
      <c r="M484" s="7"/>
      <c r="N484" s="73"/>
      <c r="O484" s="13">
        <v>575</v>
      </c>
      <c r="P484" s="6" t="s">
        <v>80</v>
      </c>
      <c r="Q484" s="19">
        <f t="shared" ref="Q484:Q501" si="20">+O484/C484</f>
        <v>1.0454545454545454E-2</v>
      </c>
      <c r="R484" s="7">
        <v>45671</v>
      </c>
      <c r="S484" s="41" t="s">
        <v>121</v>
      </c>
      <c r="T484" s="7">
        <v>45698</v>
      </c>
      <c r="U484" s="17" t="s">
        <v>76</v>
      </c>
      <c r="V484" s="7" t="s">
        <v>1233</v>
      </c>
      <c r="W484" s="10" t="s">
        <v>503</v>
      </c>
      <c r="X484" s="236">
        <v>52635</v>
      </c>
      <c r="Y484" s="11" t="s">
        <v>68</v>
      </c>
      <c r="Z484" s="11"/>
      <c r="AA484" s="7">
        <v>45701</v>
      </c>
      <c r="AB484" s="7">
        <v>45702</v>
      </c>
      <c r="AC484" s="7">
        <v>45698</v>
      </c>
      <c r="AD484" s="38"/>
      <c r="AE484" s="71">
        <v>45709</v>
      </c>
    </row>
    <row r="485" spans="1:51" s="30" customFormat="1" ht="24.95" hidden="1" customHeight="1" x14ac:dyDescent="0.25">
      <c r="A485" s="109" t="s">
        <v>932</v>
      </c>
      <c r="B485" s="22">
        <v>28232</v>
      </c>
      <c r="C485" s="23">
        <v>7700</v>
      </c>
      <c r="D485" s="22">
        <v>5</v>
      </c>
      <c r="E485" s="22" t="s">
        <v>1235</v>
      </c>
      <c r="F485" s="22"/>
      <c r="G485" s="22"/>
      <c r="H485" s="22" t="s">
        <v>37</v>
      </c>
      <c r="I485" s="22" t="s">
        <v>729</v>
      </c>
      <c r="J485" s="22" t="s">
        <v>62</v>
      </c>
      <c r="K485" s="22"/>
      <c r="L485" s="25">
        <v>45694</v>
      </c>
      <c r="M485" s="25"/>
      <c r="N485" s="22" t="s">
        <v>103</v>
      </c>
      <c r="O485" s="26">
        <v>1695</v>
      </c>
      <c r="P485" s="22" t="s">
        <v>80</v>
      </c>
      <c r="Q485" s="259">
        <f t="shared" si="20"/>
        <v>0.22012987012987012</v>
      </c>
      <c r="R485" s="244"/>
      <c r="S485" s="262"/>
      <c r="T485" s="55"/>
      <c r="U485" s="245" t="s">
        <v>66</v>
      </c>
      <c r="V485" s="25" t="s">
        <v>1233</v>
      </c>
      <c r="W485" s="55" t="s">
        <v>45</v>
      </c>
      <c r="X485" s="29">
        <v>29645</v>
      </c>
      <c r="Y485" s="24" t="s">
        <v>215</v>
      </c>
      <c r="Z485" s="24"/>
      <c r="AA485" s="78"/>
      <c r="AB485" s="78"/>
      <c r="AC485" s="7">
        <v>45701</v>
      </c>
      <c r="AD485" s="48"/>
      <c r="AE485" s="71">
        <v>45716</v>
      </c>
      <c r="AF485" s="15"/>
      <c r="AG485" s="15"/>
      <c r="AH485" s="15"/>
      <c r="AI485" s="15"/>
      <c r="AJ485" s="15"/>
      <c r="AK485" s="15"/>
      <c r="AL485" s="15"/>
      <c r="AM485" s="15"/>
      <c r="AN485" s="15"/>
      <c r="AO485" s="15"/>
      <c r="AP485" s="15"/>
      <c r="AQ485" s="15"/>
      <c r="AR485" s="15"/>
      <c r="AS485" s="15"/>
      <c r="AT485" s="15"/>
      <c r="AU485" s="15"/>
      <c r="AV485" s="15"/>
      <c r="AW485" s="15"/>
      <c r="AX485" s="15"/>
      <c r="AY485" s="15"/>
    </row>
    <row r="486" spans="1:51" s="30" customFormat="1" ht="24.95" hidden="1" customHeight="1" x14ac:dyDescent="0.25">
      <c r="A486" s="109" t="s">
        <v>251</v>
      </c>
      <c r="B486" s="22">
        <v>27876</v>
      </c>
      <c r="C486" s="23">
        <v>40500</v>
      </c>
      <c r="D486" s="22" t="s">
        <v>249</v>
      </c>
      <c r="E486" s="22" t="s">
        <v>421</v>
      </c>
      <c r="F486" s="22"/>
      <c r="G486" s="22"/>
      <c r="H486" s="22" t="s">
        <v>37</v>
      </c>
      <c r="I486" s="22" t="s">
        <v>253</v>
      </c>
      <c r="J486" s="22" t="s">
        <v>62</v>
      </c>
      <c r="K486" s="22"/>
      <c r="L486" s="25">
        <v>45699</v>
      </c>
      <c r="M486" s="25"/>
      <c r="N486" s="22" t="s">
        <v>103</v>
      </c>
      <c r="O486" s="26">
        <v>6675</v>
      </c>
      <c r="P486" s="22" t="s">
        <v>80</v>
      </c>
      <c r="Q486" s="259">
        <f t="shared" si="20"/>
        <v>0.1648148148148148</v>
      </c>
      <c r="R486" s="217"/>
      <c r="S486" s="27"/>
      <c r="T486" s="24"/>
      <c r="U486" s="28" t="s">
        <v>66</v>
      </c>
      <c r="V486" s="25" t="s">
        <v>1233</v>
      </c>
      <c r="W486" s="55" t="s">
        <v>45</v>
      </c>
      <c r="X486" s="29">
        <v>119475</v>
      </c>
      <c r="Y486" s="24" t="s">
        <v>215</v>
      </c>
      <c r="Z486" s="24"/>
      <c r="AA486" s="78"/>
      <c r="AB486" s="78"/>
      <c r="AC486" s="7">
        <v>45705</v>
      </c>
      <c r="AD486" s="316" t="s">
        <v>1200</v>
      </c>
      <c r="AE486" s="71">
        <v>45717</v>
      </c>
      <c r="AF486" s="15"/>
      <c r="AG486" s="15"/>
      <c r="AH486" s="15"/>
      <c r="AI486" s="15"/>
      <c r="AJ486" s="15"/>
      <c r="AK486" s="15"/>
      <c r="AL486" s="15"/>
      <c r="AM486" s="15"/>
      <c r="AN486" s="15"/>
      <c r="AO486" s="15"/>
      <c r="AP486" s="15"/>
      <c r="AQ486" s="15"/>
      <c r="AR486" s="15"/>
      <c r="AS486" s="15"/>
      <c r="AT486" s="15"/>
      <c r="AU486" s="15"/>
      <c r="AV486" s="15"/>
      <c r="AW486" s="15"/>
      <c r="AX486" s="15"/>
      <c r="AY486" s="15"/>
    </row>
    <row r="487" spans="1:51" s="2" customFormat="1" ht="23.1" hidden="1" customHeight="1" x14ac:dyDescent="0.25">
      <c r="A487" s="16" t="s">
        <v>549</v>
      </c>
      <c r="B487" s="4">
        <v>27754</v>
      </c>
      <c r="C487" s="5">
        <v>37478</v>
      </c>
      <c r="D487" s="6" t="s">
        <v>105</v>
      </c>
      <c r="E487" s="254" t="s">
        <v>550</v>
      </c>
      <c r="F487" s="159" t="s">
        <v>1236</v>
      </c>
      <c r="G487" s="159" t="s">
        <v>36</v>
      </c>
      <c r="H487" s="6" t="s">
        <v>109</v>
      </c>
      <c r="I487" s="6" t="s">
        <v>52</v>
      </c>
      <c r="J487" s="159" t="s">
        <v>98</v>
      </c>
      <c r="K487" s="159"/>
      <c r="L487" s="7">
        <v>45670</v>
      </c>
      <c r="M487" s="3"/>
      <c r="N487" s="3"/>
      <c r="O487" s="422">
        <v>575</v>
      </c>
      <c r="P487" s="6" t="s">
        <v>41</v>
      </c>
      <c r="Q487" s="19">
        <f t="shared" si="20"/>
        <v>1.5342334169379369E-2</v>
      </c>
      <c r="R487" s="3"/>
      <c r="S487" s="41"/>
      <c r="T487" s="65">
        <v>45702</v>
      </c>
      <c r="U487" s="46" t="s">
        <v>43</v>
      </c>
      <c r="V487" s="7" t="s">
        <v>1233</v>
      </c>
      <c r="W487" s="10" t="s">
        <v>67</v>
      </c>
      <c r="X487" s="236">
        <v>24650</v>
      </c>
      <c r="Y487" s="11" t="s">
        <v>46</v>
      </c>
      <c r="Z487" s="11"/>
      <c r="AA487" s="78"/>
      <c r="AB487" s="7">
        <v>45707</v>
      </c>
      <c r="AC487" s="7">
        <v>45700</v>
      </c>
      <c r="AD487" s="376"/>
      <c r="AE487" s="7">
        <v>45709</v>
      </c>
      <c r="AF487" s="15"/>
      <c r="AG487" s="15"/>
      <c r="AH487" s="15"/>
      <c r="AI487" s="15"/>
      <c r="AJ487" s="15"/>
      <c r="AK487" s="15"/>
      <c r="AL487" s="15"/>
      <c r="AM487" s="15"/>
      <c r="AN487" s="15"/>
      <c r="AO487" s="15"/>
      <c r="AP487" s="15"/>
      <c r="AQ487" s="15"/>
      <c r="AR487" s="15"/>
      <c r="AS487" s="15"/>
      <c r="AT487" s="15"/>
      <c r="AU487" s="15"/>
    </row>
    <row r="488" spans="1:51" s="15" customFormat="1" ht="23.1" hidden="1" customHeight="1" x14ac:dyDescent="0.25">
      <c r="A488" s="425" t="s">
        <v>1237</v>
      </c>
      <c r="B488" s="6">
        <v>27893</v>
      </c>
      <c r="C488" s="5">
        <v>44000</v>
      </c>
      <c r="D488" s="169" t="s">
        <v>105</v>
      </c>
      <c r="E488" s="6" t="s">
        <v>563</v>
      </c>
      <c r="F488" s="6" t="s">
        <v>1238</v>
      </c>
      <c r="G488" s="6" t="s">
        <v>687</v>
      </c>
      <c r="H488" s="6" t="s">
        <v>51</v>
      </c>
      <c r="I488" s="6" t="s">
        <v>52</v>
      </c>
      <c r="J488" s="6" t="s">
        <v>171</v>
      </c>
      <c r="K488" s="6"/>
      <c r="L488" s="7">
        <v>45607</v>
      </c>
      <c r="M488" s="7"/>
      <c r="N488" s="6"/>
      <c r="O488" s="422">
        <v>575</v>
      </c>
      <c r="P488" s="6" t="s">
        <v>80</v>
      </c>
      <c r="Q488" s="19">
        <f t="shared" si="20"/>
        <v>1.3068181818181817E-2</v>
      </c>
      <c r="R488" s="7"/>
      <c r="S488" s="41"/>
      <c r="T488" s="65">
        <v>45698</v>
      </c>
      <c r="U488" s="46" t="s">
        <v>43</v>
      </c>
      <c r="V488" s="7" t="s">
        <v>1233</v>
      </c>
      <c r="W488" s="10" t="s">
        <v>67</v>
      </c>
      <c r="X488" s="236">
        <f>55300-11060</f>
        <v>44240</v>
      </c>
      <c r="Y488" s="11" t="s">
        <v>46</v>
      </c>
      <c r="Z488" s="11"/>
      <c r="AA488" s="7">
        <v>45707</v>
      </c>
      <c r="AB488" s="7">
        <v>45708</v>
      </c>
      <c r="AC488" s="7">
        <v>45698</v>
      </c>
      <c r="AD488" s="40"/>
      <c r="AE488" s="71">
        <v>45715</v>
      </c>
    </row>
    <row r="489" spans="1:51" s="15" customFormat="1" ht="23.1" hidden="1" customHeight="1" x14ac:dyDescent="0.25">
      <c r="A489" s="209" t="s">
        <v>565</v>
      </c>
      <c r="B489" s="6">
        <v>28570</v>
      </c>
      <c r="C489" s="5">
        <v>30865</v>
      </c>
      <c r="D489" s="6" t="s">
        <v>105</v>
      </c>
      <c r="E489" s="6" t="s">
        <v>1239</v>
      </c>
      <c r="F489" s="6" t="s">
        <v>1240</v>
      </c>
      <c r="G489" s="6" t="s">
        <v>36</v>
      </c>
      <c r="H489" s="6" t="s">
        <v>37</v>
      </c>
      <c r="I489" s="6" t="s">
        <v>97</v>
      </c>
      <c r="J489" s="6" t="s">
        <v>98</v>
      </c>
      <c r="K489" s="6"/>
      <c r="L489" s="7">
        <v>45656</v>
      </c>
      <c r="M489" s="7" t="s">
        <v>861</v>
      </c>
      <c r="N489" s="6"/>
      <c r="O489" s="13">
        <v>3200</v>
      </c>
      <c r="P489" s="6" t="s">
        <v>41</v>
      </c>
      <c r="Q489" s="41">
        <f t="shared" si="20"/>
        <v>0.10367730439008586</v>
      </c>
      <c r="R489" s="65"/>
      <c r="S489" s="41"/>
      <c r="T489" s="65">
        <v>45705</v>
      </c>
      <c r="U489" s="46" t="s">
        <v>43</v>
      </c>
      <c r="V489" s="7" t="s">
        <v>1233</v>
      </c>
      <c r="W489" s="149" t="s">
        <v>45</v>
      </c>
      <c r="X489" s="236">
        <v>127784</v>
      </c>
      <c r="Y489" s="11" t="s">
        <v>68</v>
      </c>
      <c r="Z489" s="11"/>
      <c r="AA489" s="7">
        <v>45707</v>
      </c>
      <c r="AB489" s="7">
        <v>45707</v>
      </c>
      <c r="AC489" s="7">
        <v>45701</v>
      </c>
      <c r="AD489" s="40"/>
      <c r="AE489" s="7">
        <v>45689</v>
      </c>
    </row>
    <row r="490" spans="1:51" s="30" customFormat="1" ht="21" hidden="1" customHeight="1" x14ac:dyDescent="0.25">
      <c r="A490" s="21" t="s">
        <v>392</v>
      </c>
      <c r="B490" s="22">
        <v>27555</v>
      </c>
      <c r="C490" s="260">
        <v>44000</v>
      </c>
      <c r="D490" s="256" t="s">
        <v>249</v>
      </c>
      <c r="E490" s="22" t="s">
        <v>789</v>
      </c>
      <c r="F490" s="22"/>
      <c r="G490" s="22"/>
      <c r="H490" s="22" t="s">
        <v>37</v>
      </c>
      <c r="I490" s="22" t="s">
        <v>394</v>
      </c>
      <c r="J490" s="22" t="s">
        <v>53</v>
      </c>
      <c r="K490" s="22"/>
      <c r="L490" s="255">
        <v>45709</v>
      </c>
      <c r="M490" s="25"/>
      <c r="N490" s="22"/>
      <c r="O490" s="26"/>
      <c r="P490" s="22"/>
      <c r="Q490" s="259">
        <f t="shared" si="20"/>
        <v>0</v>
      </c>
      <c r="R490" s="217"/>
      <c r="S490" s="262"/>
      <c r="T490" s="24"/>
      <c r="U490" s="28" t="s">
        <v>66</v>
      </c>
      <c r="V490" s="25" t="s">
        <v>1233</v>
      </c>
      <c r="W490" s="55" t="s">
        <v>358</v>
      </c>
      <c r="X490" s="29">
        <v>114700</v>
      </c>
      <c r="Y490" s="24" t="s">
        <v>215</v>
      </c>
      <c r="Z490" s="261"/>
      <c r="AA490" s="351"/>
      <c r="AB490" s="78"/>
      <c r="AC490" s="78"/>
      <c r="AD490" s="48"/>
      <c r="AE490" s="7" t="s">
        <v>378</v>
      </c>
      <c r="AF490" s="15"/>
      <c r="AG490" s="15"/>
      <c r="AH490" s="15"/>
      <c r="AI490" s="15"/>
      <c r="AJ490" s="15"/>
      <c r="AK490" s="15"/>
      <c r="AL490" s="15"/>
      <c r="AM490" s="15"/>
      <c r="AN490" s="15"/>
      <c r="AO490" s="15"/>
      <c r="AP490" s="15"/>
      <c r="AQ490" s="15"/>
      <c r="AR490" s="15"/>
      <c r="AS490" s="15"/>
      <c r="AT490" s="15"/>
      <c r="AU490" s="15"/>
      <c r="AV490" s="15"/>
      <c r="AW490" s="15"/>
      <c r="AX490" s="15"/>
      <c r="AY490" s="15"/>
    </row>
    <row r="491" spans="1:51" s="30" customFormat="1" ht="21" hidden="1" customHeight="1" x14ac:dyDescent="0.25">
      <c r="A491" s="21" t="s">
        <v>1241</v>
      </c>
      <c r="B491" s="22">
        <v>29124</v>
      </c>
      <c r="C491" s="260">
        <v>31250</v>
      </c>
      <c r="D491" s="256" t="s">
        <v>249</v>
      </c>
      <c r="E491" s="22" t="s">
        <v>1242</v>
      </c>
      <c r="F491" s="22"/>
      <c r="G491" s="22"/>
      <c r="H491" s="22" t="s">
        <v>37</v>
      </c>
      <c r="I491" s="22" t="s">
        <v>1243</v>
      </c>
      <c r="J491" s="22" t="s">
        <v>53</v>
      </c>
      <c r="K491" s="22"/>
      <c r="L491" s="255">
        <v>45701</v>
      </c>
      <c r="M491" s="25"/>
      <c r="N491" s="22" t="s">
        <v>458</v>
      </c>
      <c r="O491" s="26">
        <v>3950</v>
      </c>
      <c r="P491" s="22" t="s">
        <v>80</v>
      </c>
      <c r="Q491" s="259">
        <f t="shared" si="20"/>
        <v>0.12640000000000001</v>
      </c>
      <c r="R491" s="217"/>
      <c r="S491" s="262"/>
      <c r="T491" s="24"/>
      <c r="U491" s="28" t="s">
        <v>66</v>
      </c>
      <c r="V491" s="25" t="s">
        <v>1244</v>
      </c>
      <c r="W491" s="55" t="s">
        <v>67</v>
      </c>
      <c r="X491" s="29">
        <v>65625</v>
      </c>
      <c r="Y491" s="24" t="s">
        <v>215</v>
      </c>
      <c r="Z491" s="261"/>
      <c r="AA491" s="351"/>
      <c r="AB491" s="78"/>
      <c r="AC491" s="78"/>
      <c r="AD491" s="48"/>
      <c r="AE491" s="71">
        <v>45736</v>
      </c>
      <c r="AF491" s="15"/>
      <c r="AG491" s="15"/>
      <c r="AH491" s="15"/>
      <c r="AI491" s="15"/>
      <c r="AJ491" s="15"/>
      <c r="AK491" s="15"/>
      <c r="AL491" s="15"/>
      <c r="AM491" s="15"/>
      <c r="AN491" s="15"/>
      <c r="AO491" s="15"/>
      <c r="AP491" s="15"/>
      <c r="AQ491" s="15"/>
      <c r="AR491" s="15"/>
      <c r="AS491" s="15"/>
      <c r="AT491" s="15"/>
      <c r="AU491" s="15"/>
      <c r="AV491" s="15"/>
      <c r="AW491" s="15"/>
      <c r="AX491" s="15"/>
      <c r="AY491" s="15"/>
    </row>
    <row r="492" spans="1:51" s="15" customFormat="1" ht="23.1" hidden="1" customHeight="1" x14ac:dyDescent="0.25">
      <c r="A492" s="425" t="s">
        <v>1245</v>
      </c>
      <c r="B492" s="6">
        <v>28013</v>
      </c>
      <c r="C492" s="5">
        <v>26400</v>
      </c>
      <c r="D492" s="6" t="s">
        <v>48</v>
      </c>
      <c r="E492" s="6" t="s">
        <v>1246</v>
      </c>
      <c r="F492" s="6" t="s">
        <v>1247</v>
      </c>
      <c r="G492" s="6" t="s">
        <v>369</v>
      </c>
      <c r="H492" s="6" t="s">
        <v>51</v>
      </c>
      <c r="I492" s="6" t="s">
        <v>52</v>
      </c>
      <c r="J492" s="6" t="s">
        <v>171</v>
      </c>
      <c r="K492" s="6"/>
      <c r="L492" s="7">
        <v>45663</v>
      </c>
      <c r="M492" s="7"/>
      <c r="N492" s="6"/>
      <c r="O492" s="13">
        <v>545</v>
      </c>
      <c r="P492" s="6" t="s">
        <v>80</v>
      </c>
      <c r="Q492" s="19">
        <f t="shared" si="20"/>
        <v>2.0643939393939395E-2</v>
      </c>
      <c r="R492" s="65">
        <v>45691</v>
      </c>
      <c r="S492" s="41" t="s">
        <v>121</v>
      </c>
      <c r="T492" s="65">
        <v>45705</v>
      </c>
      <c r="U492" s="46" t="s">
        <v>76</v>
      </c>
      <c r="V492" s="7" t="s">
        <v>1244</v>
      </c>
      <c r="W492" s="10" t="s">
        <v>67</v>
      </c>
      <c r="X492" s="236">
        <f>180600-36120</f>
        <v>144480</v>
      </c>
      <c r="Y492" s="11" t="s">
        <v>46</v>
      </c>
      <c r="Z492" s="11"/>
      <c r="AA492" s="78"/>
      <c r="AB492" s="7">
        <v>45708</v>
      </c>
      <c r="AC492" s="7">
        <v>45707</v>
      </c>
      <c r="AD492" s="40"/>
      <c r="AE492" s="71">
        <v>45715</v>
      </c>
    </row>
    <row r="493" spans="1:51" s="15" customFormat="1" ht="23.1" hidden="1" customHeight="1" x14ac:dyDescent="0.25">
      <c r="A493" s="427" t="s">
        <v>629</v>
      </c>
      <c r="B493" s="167">
        <v>27332</v>
      </c>
      <c r="C493" s="5">
        <v>44000</v>
      </c>
      <c r="D493" s="167" t="s">
        <v>105</v>
      </c>
      <c r="E493" s="167" t="s">
        <v>630</v>
      </c>
      <c r="F493" s="6" t="s">
        <v>1248</v>
      </c>
      <c r="G493" s="167" t="s">
        <v>36</v>
      </c>
      <c r="H493" s="169" t="s">
        <v>164</v>
      </c>
      <c r="I493" s="169" t="s">
        <v>97</v>
      </c>
      <c r="J493" s="169" t="s">
        <v>98</v>
      </c>
      <c r="K493" s="169"/>
      <c r="L493" s="7">
        <v>45650</v>
      </c>
      <c r="M493" s="7" t="s">
        <v>39</v>
      </c>
      <c r="N493" s="6"/>
      <c r="O493" s="13">
        <v>3465</v>
      </c>
      <c r="P493" s="6" t="s">
        <v>41</v>
      </c>
      <c r="Q493" s="19">
        <f t="shared" si="20"/>
        <v>7.8750000000000001E-2</v>
      </c>
      <c r="R493" s="219"/>
      <c r="S493" s="41"/>
      <c r="T493" s="65">
        <v>45705</v>
      </c>
      <c r="U493" s="67" t="s">
        <v>43</v>
      </c>
      <c r="V493" s="7" t="s">
        <v>1244</v>
      </c>
      <c r="W493" s="10" t="s">
        <v>503</v>
      </c>
      <c r="X493" s="236">
        <v>71100</v>
      </c>
      <c r="Y493" s="171" t="s">
        <v>68</v>
      </c>
      <c r="Z493" s="171"/>
      <c r="AA493" s="7">
        <v>45709</v>
      </c>
      <c r="AB493" s="7">
        <v>45709</v>
      </c>
      <c r="AC493" s="7">
        <v>45701</v>
      </c>
      <c r="AD493" s="38"/>
      <c r="AE493" s="71">
        <v>45702</v>
      </c>
    </row>
    <row r="494" spans="1:51" s="3" customFormat="1" ht="23.1" hidden="1" customHeight="1" x14ac:dyDescent="0.25">
      <c r="A494" s="209" t="s">
        <v>1249</v>
      </c>
      <c r="B494" s="159">
        <v>26183</v>
      </c>
      <c r="C494" s="5">
        <v>55100</v>
      </c>
      <c r="D494" s="167" t="s">
        <v>48</v>
      </c>
      <c r="E494" s="254" t="s">
        <v>227</v>
      </c>
      <c r="F494" s="6" t="s">
        <v>1250</v>
      </c>
      <c r="G494" s="159" t="s">
        <v>36</v>
      </c>
      <c r="H494" s="159" t="s">
        <v>37</v>
      </c>
      <c r="I494" s="159" t="s">
        <v>281</v>
      </c>
      <c r="J494" s="159" t="s">
        <v>120</v>
      </c>
      <c r="K494" s="159"/>
      <c r="L494" s="7">
        <v>45641</v>
      </c>
      <c r="M494" s="162" t="s">
        <v>39</v>
      </c>
      <c r="N494" s="562"/>
      <c r="O494" s="422">
        <v>4946</v>
      </c>
      <c r="P494" s="6" t="s">
        <v>41</v>
      </c>
      <c r="Q494" s="19">
        <f t="shared" si="20"/>
        <v>8.9764065335753179E-2</v>
      </c>
      <c r="R494" s="7">
        <v>45684</v>
      </c>
      <c r="S494" s="156" t="s">
        <v>65</v>
      </c>
      <c r="T494" s="65">
        <v>45708</v>
      </c>
      <c r="U494" s="46" t="s">
        <v>76</v>
      </c>
      <c r="V494" s="7" t="s">
        <v>1244</v>
      </c>
      <c r="W494" s="10" t="s">
        <v>503</v>
      </c>
      <c r="X494" s="236">
        <f>137500-13750</f>
        <v>123750</v>
      </c>
      <c r="Y494" s="11" t="s">
        <v>46</v>
      </c>
      <c r="Z494" s="11"/>
      <c r="AA494" s="7">
        <v>45700</v>
      </c>
      <c r="AB494" s="7">
        <v>45700</v>
      </c>
      <c r="AC494" s="7">
        <v>45709</v>
      </c>
      <c r="AE494" s="7">
        <v>45687</v>
      </c>
      <c r="AF494" s="208"/>
      <c r="AG494" s="208"/>
      <c r="AH494" s="208"/>
      <c r="AI494" s="208"/>
      <c r="AJ494" s="208"/>
      <c r="AK494" s="208"/>
      <c r="AL494" s="208"/>
      <c r="AM494" s="208"/>
      <c r="AN494" s="208"/>
      <c r="AO494" s="208"/>
      <c r="AP494" s="208"/>
      <c r="AQ494" s="208"/>
      <c r="AR494" s="208"/>
      <c r="AS494" s="208"/>
      <c r="AT494" s="208"/>
      <c r="AU494" s="208"/>
    </row>
    <row r="495" spans="1:51" s="30" customFormat="1" ht="23.1" hidden="1" customHeight="1" x14ac:dyDescent="0.25">
      <c r="A495" s="341" t="s">
        <v>936</v>
      </c>
      <c r="B495" s="31">
        <v>26187</v>
      </c>
      <c r="C495" s="32">
        <v>55000</v>
      </c>
      <c r="D495" s="31" t="s">
        <v>48</v>
      </c>
      <c r="E495" s="31" t="s">
        <v>760</v>
      </c>
      <c r="F495" s="31" t="s">
        <v>1251</v>
      </c>
      <c r="G495" s="31" t="s">
        <v>36</v>
      </c>
      <c r="H495" s="31" t="s">
        <v>37</v>
      </c>
      <c r="I495" s="31" t="s">
        <v>281</v>
      </c>
      <c r="J495" s="31" t="s">
        <v>120</v>
      </c>
      <c r="K495" s="31"/>
      <c r="L495" s="34">
        <v>45641</v>
      </c>
      <c r="M495" s="563" t="s">
        <v>39</v>
      </c>
      <c r="N495" s="564"/>
      <c r="O495" s="565">
        <v>4946</v>
      </c>
      <c r="P495" s="31" t="s">
        <v>41</v>
      </c>
      <c r="Q495" s="258">
        <f t="shared" si="20"/>
        <v>8.9927272727272731E-2</v>
      </c>
      <c r="R495" s="102">
        <v>45684</v>
      </c>
      <c r="S495" s="258" t="s">
        <v>65</v>
      </c>
      <c r="T495" s="34">
        <v>45710</v>
      </c>
      <c r="U495" s="100" t="s">
        <v>76</v>
      </c>
      <c r="V495" s="34" t="s">
        <v>1244</v>
      </c>
      <c r="W495" s="33" t="s">
        <v>1252</v>
      </c>
      <c r="X495" s="62">
        <f>156750-15675</f>
        <v>141075</v>
      </c>
      <c r="Y495" s="33" t="s">
        <v>46</v>
      </c>
      <c r="Z495" s="33"/>
      <c r="AA495" s="7">
        <v>45700</v>
      </c>
      <c r="AB495" s="7">
        <v>45700</v>
      </c>
      <c r="AC495" s="7">
        <v>45710</v>
      </c>
      <c r="AD495" s="38"/>
      <c r="AE495" s="7">
        <v>45687</v>
      </c>
      <c r="AF495" s="15"/>
      <c r="AG495" s="15"/>
      <c r="AH495" s="15"/>
      <c r="AI495" s="15"/>
      <c r="AJ495" s="15"/>
      <c r="AK495" s="15"/>
      <c r="AL495" s="15"/>
      <c r="AM495" s="15"/>
      <c r="AN495" s="15"/>
      <c r="AO495" s="15"/>
      <c r="AP495" s="15"/>
      <c r="AQ495" s="15"/>
      <c r="AR495" s="15"/>
      <c r="AS495" s="15"/>
      <c r="AT495" s="15"/>
      <c r="AU495" s="15"/>
      <c r="AV495" s="15"/>
      <c r="AW495" s="15"/>
      <c r="AX495" s="15"/>
      <c r="AY495" s="15"/>
    </row>
    <row r="496" spans="1:51" s="566" customFormat="1" ht="23.1" hidden="1" customHeight="1" x14ac:dyDescent="0.25">
      <c r="A496" s="16" t="s">
        <v>175</v>
      </c>
      <c r="B496" s="4">
        <v>27457</v>
      </c>
      <c r="C496" s="5">
        <v>44000</v>
      </c>
      <c r="D496" s="6" t="s">
        <v>105</v>
      </c>
      <c r="E496" s="254" t="s">
        <v>176</v>
      </c>
      <c r="F496" s="6" t="s">
        <v>1253</v>
      </c>
      <c r="G496" s="159" t="s">
        <v>36</v>
      </c>
      <c r="H496" s="159" t="s">
        <v>164</v>
      </c>
      <c r="I496" s="159" t="s">
        <v>74</v>
      </c>
      <c r="J496" s="6" t="s">
        <v>75</v>
      </c>
      <c r="K496" s="6"/>
      <c r="L496" s="7">
        <v>45631</v>
      </c>
      <c r="M496" s="7" t="s">
        <v>913</v>
      </c>
      <c r="N496" s="562"/>
      <c r="O496" s="422">
        <f>4008+400</f>
        <v>4408</v>
      </c>
      <c r="P496" s="6" t="s">
        <v>41</v>
      </c>
      <c r="Q496" s="19">
        <f t="shared" si="20"/>
        <v>0.10018181818181818</v>
      </c>
      <c r="R496" s="65">
        <v>45677</v>
      </c>
      <c r="S496" s="156" t="s">
        <v>65</v>
      </c>
      <c r="T496" s="65">
        <v>45710</v>
      </c>
      <c r="U496" s="46" t="s">
        <v>76</v>
      </c>
      <c r="V496" s="7" t="s">
        <v>1244</v>
      </c>
      <c r="W496" s="10" t="s">
        <v>503</v>
      </c>
      <c r="X496" s="236">
        <v>45000</v>
      </c>
      <c r="Y496" s="11" t="s">
        <v>46</v>
      </c>
      <c r="Z496" s="11"/>
      <c r="AA496" s="78"/>
      <c r="AB496" s="7">
        <v>45712</v>
      </c>
      <c r="AC496" s="7">
        <v>45710</v>
      </c>
      <c r="AE496" s="7">
        <v>45689</v>
      </c>
      <c r="AF496" s="567"/>
      <c r="AG496" s="567"/>
      <c r="AH496" s="567"/>
      <c r="AI496" s="567"/>
      <c r="AJ496" s="567"/>
      <c r="AK496" s="567"/>
      <c r="AL496" s="567"/>
      <c r="AM496" s="567"/>
      <c r="AN496" s="567"/>
      <c r="AO496" s="567"/>
      <c r="AP496" s="567"/>
      <c r="AQ496" s="567"/>
      <c r="AR496" s="567"/>
      <c r="AS496" s="567"/>
      <c r="AT496" s="567"/>
      <c r="AU496" s="567"/>
    </row>
    <row r="497" spans="1:51" s="2" customFormat="1" ht="23.1" hidden="1" customHeight="1" x14ac:dyDescent="0.25">
      <c r="A497" s="16" t="s">
        <v>382</v>
      </c>
      <c r="B497" s="159">
        <v>28311</v>
      </c>
      <c r="C497" s="249">
        <v>44100</v>
      </c>
      <c r="D497" s="167" t="s">
        <v>105</v>
      </c>
      <c r="E497" s="167" t="s">
        <v>883</v>
      </c>
      <c r="F497" s="159" t="s">
        <v>1254</v>
      </c>
      <c r="G497" s="167" t="s">
        <v>36</v>
      </c>
      <c r="H497" s="167" t="s">
        <v>37</v>
      </c>
      <c r="I497" s="159" t="s">
        <v>74</v>
      </c>
      <c r="J497" s="159" t="s">
        <v>75</v>
      </c>
      <c r="K497" s="159"/>
      <c r="L497" s="7">
        <v>45652</v>
      </c>
      <c r="M497" s="7" t="s">
        <v>39</v>
      </c>
      <c r="N497" s="3"/>
      <c r="O497" s="422">
        <f>4008+400</f>
        <v>4408</v>
      </c>
      <c r="P497" s="159" t="s">
        <v>41</v>
      </c>
      <c r="Q497" s="19">
        <f t="shared" si="20"/>
        <v>9.9954648526077092E-2</v>
      </c>
      <c r="R497" s="7">
        <v>45684</v>
      </c>
      <c r="S497" s="156" t="s">
        <v>65</v>
      </c>
      <c r="T497" s="65">
        <v>45704</v>
      </c>
      <c r="U497" s="46" t="s">
        <v>76</v>
      </c>
      <c r="V497" s="7" t="s">
        <v>1244</v>
      </c>
      <c r="W497" s="11" t="s">
        <v>503</v>
      </c>
      <c r="X497" s="236">
        <v>40000</v>
      </c>
      <c r="Y497" s="11" t="s">
        <v>46</v>
      </c>
      <c r="Z497" s="11"/>
      <c r="AA497" s="78"/>
      <c r="AB497" s="7">
        <v>45712</v>
      </c>
      <c r="AC497" s="7">
        <v>45704</v>
      </c>
      <c r="AD497" s="376"/>
      <c r="AE497" s="7">
        <v>45689</v>
      </c>
      <c r="AF497" s="15"/>
      <c r="AG497" s="15"/>
      <c r="AH497" s="15"/>
      <c r="AI497" s="15"/>
      <c r="AJ497" s="15"/>
      <c r="AK497" s="15"/>
      <c r="AL497" s="15"/>
      <c r="AM497" s="15"/>
      <c r="AN497" s="15"/>
      <c r="AO497" s="15"/>
      <c r="AP497" s="15"/>
      <c r="AQ497" s="15"/>
      <c r="AR497" s="15"/>
      <c r="AS497" s="15"/>
      <c r="AT497" s="15"/>
      <c r="AU497" s="15"/>
    </row>
    <row r="498" spans="1:51" s="2" customFormat="1" ht="23.1" hidden="1" customHeight="1" x14ac:dyDescent="0.25">
      <c r="A498" s="16" t="s">
        <v>382</v>
      </c>
      <c r="B498" s="159">
        <v>28312</v>
      </c>
      <c r="C498" s="390">
        <v>44100</v>
      </c>
      <c r="D498" s="6" t="s">
        <v>105</v>
      </c>
      <c r="E498" s="6" t="s">
        <v>883</v>
      </c>
      <c r="F498" s="159" t="s">
        <v>1255</v>
      </c>
      <c r="G498" s="6" t="s">
        <v>36</v>
      </c>
      <c r="H498" s="6" t="s">
        <v>37</v>
      </c>
      <c r="I498" s="159" t="s">
        <v>74</v>
      </c>
      <c r="J498" s="159" t="s">
        <v>75</v>
      </c>
      <c r="K498" s="159"/>
      <c r="L498" s="7">
        <v>45652</v>
      </c>
      <c r="M498" s="7" t="s">
        <v>39</v>
      </c>
      <c r="N498" s="3"/>
      <c r="O498" s="422">
        <f>4008+400</f>
        <v>4408</v>
      </c>
      <c r="P498" s="159" t="s">
        <v>41</v>
      </c>
      <c r="Q498" s="19">
        <f t="shared" si="20"/>
        <v>9.9954648526077092E-2</v>
      </c>
      <c r="R498" s="7">
        <v>45684</v>
      </c>
      <c r="S498" s="41" t="s">
        <v>65</v>
      </c>
      <c r="T498" s="65">
        <v>45704</v>
      </c>
      <c r="U498" s="46" t="s">
        <v>76</v>
      </c>
      <c r="V498" s="7" t="s">
        <v>1244</v>
      </c>
      <c r="W498" s="11" t="s">
        <v>503</v>
      </c>
      <c r="X498" s="236">
        <v>40000</v>
      </c>
      <c r="Y498" s="11" t="s">
        <v>46</v>
      </c>
      <c r="Z498" s="11"/>
      <c r="AA498" s="78"/>
      <c r="AB498" s="7">
        <v>45712</v>
      </c>
      <c r="AC498" s="7">
        <v>45704</v>
      </c>
      <c r="AD498" s="376"/>
      <c r="AE498" s="7">
        <v>45689</v>
      </c>
      <c r="AF498" s="15"/>
      <c r="AG498" s="15"/>
      <c r="AH498" s="15"/>
      <c r="AI498" s="15"/>
      <c r="AJ498" s="15"/>
      <c r="AK498" s="15"/>
      <c r="AL498" s="15"/>
      <c r="AM498" s="15"/>
      <c r="AN498" s="15"/>
      <c r="AO498" s="15"/>
      <c r="AP498" s="15"/>
      <c r="AQ498" s="15"/>
      <c r="AR498" s="15"/>
      <c r="AS498" s="15"/>
      <c r="AT498" s="15"/>
      <c r="AU498" s="15"/>
    </row>
    <row r="499" spans="1:51" s="15" customFormat="1" ht="23.1" hidden="1" customHeight="1" x14ac:dyDescent="0.25">
      <c r="A499" s="16" t="s">
        <v>104</v>
      </c>
      <c r="B499" s="6">
        <v>28507</v>
      </c>
      <c r="C499" s="5">
        <v>55000</v>
      </c>
      <c r="D499" s="6" t="s">
        <v>33</v>
      </c>
      <c r="E499" s="6" t="s">
        <v>1112</v>
      </c>
      <c r="F499" s="159" t="s">
        <v>1256</v>
      </c>
      <c r="G499" s="6" t="s">
        <v>108</v>
      </c>
      <c r="H499" s="4" t="s">
        <v>51</v>
      </c>
      <c r="I499" s="4" t="s">
        <v>52</v>
      </c>
      <c r="J499" s="4" t="s">
        <v>473</v>
      </c>
      <c r="K499" s="4"/>
      <c r="L499" s="7">
        <v>45665</v>
      </c>
      <c r="M499" s="7"/>
      <c r="N499" s="73"/>
      <c r="O499" s="13">
        <v>545</v>
      </c>
      <c r="P499" s="6" t="s">
        <v>80</v>
      </c>
      <c r="Q499" s="19">
        <f t="shared" si="20"/>
        <v>9.9090909090909091E-3</v>
      </c>
      <c r="R499" s="219"/>
      <c r="S499" s="41"/>
      <c r="T499" s="7">
        <v>45713</v>
      </c>
      <c r="U499" s="67" t="s">
        <v>43</v>
      </c>
      <c r="V499" s="7" t="s">
        <v>1244</v>
      </c>
      <c r="W499" s="10" t="s">
        <v>67</v>
      </c>
      <c r="X499" s="236">
        <v>63730</v>
      </c>
      <c r="Y499" s="11" t="s">
        <v>46</v>
      </c>
      <c r="Z499" s="11"/>
      <c r="AA499" s="78"/>
      <c r="AB499" s="7">
        <v>45713</v>
      </c>
      <c r="AC499" s="7">
        <v>45713</v>
      </c>
      <c r="AD499" s="38"/>
      <c r="AE499" s="7">
        <v>45721</v>
      </c>
    </row>
    <row r="500" spans="1:51" s="30" customFormat="1" ht="18" hidden="1" x14ac:dyDescent="0.25">
      <c r="A500" s="109" t="s">
        <v>560</v>
      </c>
      <c r="B500" s="22">
        <v>28804</v>
      </c>
      <c r="C500" s="246">
        <v>44000</v>
      </c>
      <c r="D500" s="256" t="s">
        <v>249</v>
      </c>
      <c r="E500" s="22" t="s">
        <v>1257</v>
      </c>
      <c r="F500" s="22"/>
      <c r="G500" s="22"/>
      <c r="H500" s="22" t="s">
        <v>37</v>
      </c>
      <c r="I500" s="22"/>
      <c r="J500" s="22"/>
      <c r="K500" s="22"/>
      <c r="L500" s="255">
        <v>45714</v>
      </c>
      <c r="M500" s="25"/>
      <c r="N500" s="22" t="s">
        <v>1258</v>
      </c>
      <c r="O500" s="247">
        <v>2800</v>
      </c>
      <c r="P500" s="22" t="s">
        <v>80</v>
      </c>
      <c r="Q500" s="259">
        <f t="shared" si="20"/>
        <v>6.363636363636363E-2</v>
      </c>
      <c r="R500" s="217"/>
      <c r="S500" s="27"/>
      <c r="T500" s="24"/>
      <c r="U500" s="245" t="s">
        <v>66</v>
      </c>
      <c r="V500" s="25" t="s">
        <v>1244</v>
      </c>
      <c r="W500" s="55" t="s">
        <v>45</v>
      </c>
      <c r="X500" s="248">
        <v>72063</v>
      </c>
      <c r="Y500" s="24" t="s">
        <v>215</v>
      </c>
      <c r="Z500" s="24"/>
      <c r="AA500" s="78"/>
      <c r="AB500" s="78"/>
      <c r="AC500" s="7">
        <v>45714</v>
      </c>
      <c r="AD500" s="38"/>
      <c r="AE500" s="7">
        <v>45717</v>
      </c>
      <c r="AF500" s="15"/>
      <c r="AG500" s="15"/>
      <c r="AH500" s="15"/>
      <c r="AI500" s="15"/>
      <c r="AJ500" s="15"/>
      <c r="AK500" s="15"/>
      <c r="AL500" s="15"/>
      <c r="AM500" s="15"/>
      <c r="AN500" s="15"/>
      <c r="AO500" s="15"/>
      <c r="AP500" s="15"/>
      <c r="AQ500" s="15"/>
      <c r="AR500" s="15"/>
      <c r="AS500" s="15"/>
      <c r="AT500" s="15"/>
      <c r="AU500" s="15"/>
      <c r="AV500" s="15"/>
      <c r="AW500" s="15"/>
      <c r="AX500" s="15"/>
      <c r="AY500" s="15"/>
    </row>
    <row r="501" spans="1:51" s="30" customFormat="1" ht="24.95" hidden="1" customHeight="1" x14ac:dyDescent="0.25">
      <c r="A501" s="109" t="s">
        <v>251</v>
      </c>
      <c r="B501" s="22">
        <v>27880</v>
      </c>
      <c r="C501" s="23">
        <v>40500</v>
      </c>
      <c r="D501" s="22" t="s">
        <v>249</v>
      </c>
      <c r="E501" s="22" t="s">
        <v>1259</v>
      </c>
      <c r="F501" s="22" t="s">
        <v>1260</v>
      </c>
      <c r="G501" s="22"/>
      <c r="H501" s="22" t="s">
        <v>37</v>
      </c>
      <c r="I501" s="22" t="s">
        <v>253</v>
      </c>
      <c r="J501" s="22" t="s">
        <v>62</v>
      </c>
      <c r="K501" s="22"/>
      <c r="L501" s="25">
        <v>45708</v>
      </c>
      <c r="M501" s="25"/>
      <c r="N501" s="22" t="s">
        <v>434</v>
      </c>
      <c r="O501" s="26">
        <f>3400*1.2175</f>
        <v>4139.5</v>
      </c>
      <c r="P501" s="22" t="s">
        <v>41</v>
      </c>
      <c r="Q501" s="259">
        <f t="shared" si="20"/>
        <v>0.10220987654320987</v>
      </c>
      <c r="R501" s="217"/>
      <c r="S501" s="27"/>
      <c r="T501" s="24"/>
      <c r="U501" s="28" t="s">
        <v>66</v>
      </c>
      <c r="V501" s="25" t="s">
        <v>1244</v>
      </c>
      <c r="W501" s="24" t="s">
        <v>45</v>
      </c>
      <c r="X501" s="29">
        <v>122625</v>
      </c>
      <c r="Y501" s="24" t="s">
        <v>215</v>
      </c>
      <c r="Z501" s="24"/>
      <c r="AA501" s="78"/>
      <c r="AB501" s="78"/>
      <c r="AC501" s="7">
        <v>45715</v>
      </c>
      <c r="AD501" s="316" t="s">
        <v>1200</v>
      </c>
      <c r="AE501" s="71">
        <v>45717</v>
      </c>
      <c r="AF501" s="15"/>
      <c r="AG501" s="15"/>
      <c r="AH501" s="15"/>
      <c r="AI501" s="15"/>
      <c r="AJ501" s="15"/>
      <c r="AK501" s="15"/>
      <c r="AL501" s="15"/>
      <c r="AM501" s="15"/>
      <c r="AN501" s="15"/>
      <c r="AO501" s="15"/>
      <c r="AP501" s="15"/>
      <c r="AQ501" s="15"/>
      <c r="AR501" s="15"/>
      <c r="AS501" s="15"/>
      <c r="AT501" s="15"/>
      <c r="AU501" s="15"/>
      <c r="AV501" s="15"/>
      <c r="AW501" s="15"/>
      <c r="AX501" s="15"/>
      <c r="AY501" s="15"/>
    </row>
    <row r="502" spans="1:51" s="30" customFormat="1" ht="21" hidden="1" customHeight="1" x14ac:dyDescent="0.25">
      <c r="A502" s="21" t="s">
        <v>392</v>
      </c>
      <c r="B502" s="22">
        <v>27558</v>
      </c>
      <c r="C502" s="260">
        <v>44000</v>
      </c>
      <c r="D502" s="256" t="s">
        <v>249</v>
      </c>
      <c r="E502" s="22" t="s">
        <v>789</v>
      </c>
      <c r="F502" s="22"/>
      <c r="G502" s="22"/>
      <c r="H502" s="22" t="s">
        <v>37</v>
      </c>
      <c r="I502" s="22" t="s">
        <v>394</v>
      </c>
      <c r="J502" s="22" t="s">
        <v>53</v>
      </c>
      <c r="K502" s="22"/>
      <c r="L502" s="255">
        <v>45716</v>
      </c>
      <c r="M502" s="25"/>
      <c r="N502" s="22" t="s">
        <v>45</v>
      </c>
      <c r="O502" s="26"/>
      <c r="P502" s="22"/>
      <c r="Q502" s="27"/>
      <c r="R502" s="217"/>
      <c r="S502" s="262"/>
      <c r="T502" s="24"/>
      <c r="U502" s="28" t="s">
        <v>66</v>
      </c>
      <c r="V502" s="25" t="s">
        <v>1244</v>
      </c>
      <c r="W502" s="55" t="s">
        <v>358</v>
      </c>
      <c r="X502" s="29">
        <v>114700</v>
      </c>
      <c r="Y502" s="24" t="s">
        <v>215</v>
      </c>
      <c r="Z502" s="261"/>
      <c r="AA502" s="351"/>
      <c r="AB502" s="78"/>
      <c r="AC502" s="78"/>
      <c r="AD502" s="48"/>
      <c r="AE502" s="71" t="s">
        <v>378</v>
      </c>
      <c r="AF502" s="15"/>
      <c r="AG502" s="15"/>
      <c r="AH502" s="15"/>
      <c r="AI502" s="15"/>
      <c r="AJ502" s="15"/>
      <c r="AK502" s="15"/>
      <c r="AL502" s="15"/>
      <c r="AM502" s="15"/>
      <c r="AN502" s="15"/>
      <c r="AO502" s="15"/>
      <c r="AP502" s="15"/>
      <c r="AQ502" s="15"/>
      <c r="AR502" s="15"/>
      <c r="AS502" s="15"/>
      <c r="AT502" s="15"/>
      <c r="AU502" s="15"/>
      <c r="AV502" s="15"/>
      <c r="AW502" s="15"/>
      <c r="AX502" s="15"/>
      <c r="AY502" s="15"/>
    </row>
    <row r="503" spans="1:51" s="30" customFormat="1" ht="24.95" hidden="1" customHeight="1" x14ac:dyDescent="0.25">
      <c r="A503" s="109" t="s">
        <v>267</v>
      </c>
      <c r="B503" s="22">
        <v>27791</v>
      </c>
      <c r="C503" s="23">
        <v>40000</v>
      </c>
      <c r="D503" s="22" t="s">
        <v>249</v>
      </c>
      <c r="E503" s="22" t="s">
        <v>1261</v>
      </c>
      <c r="F503" s="22"/>
      <c r="G503" s="22"/>
      <c r="H503" s="22" t="s">
        <v>37</v>
      </c>
      <c r="I503" s="22" t="s">
        <v>269</v>
      </c>
      <c r="J503" s="22" t="s">
        <v>62</v>
      </c>
      <c r="K503" s="22"/>
      <c r="L503" s="25">
        <v>45713</v>
      </c>
      <c r="M503" s="25"/>
      <c r="N503" s="22" t="s">
        <v>441</v>
      </c>
      <c r="O503" s="26">
        <v>8100</v>
      </c>
      <c r="P503" s="22" t="s">
        <v>80</v>
      </c>
      <c r="Q503" s="259">
        <f t="shared" ref="Q503:Q522" si="21">+O503/C503</f>
        <v>0.20250000000000001</v>
      </c>
      <c r="R503" s="217"/>
      <c r="S503" s="27"/>
      <c r="T503" s="24"/>
      <c r="U503" s="28" t="s">
        <v>66</v>
      </c>
      <c r="V503" s="25" t="s">
        <v>1262</v>
      </c>
      <c r="W503" s="24" t="s">
        <v>45</v>
      </c>
      <c r="X503" s="29">
        <v>160000</v>
      </c>
      <c r="Y503" s="24" t="s">
        <v>215</v>
      </c>
      <c r="Z503" s="24"/>
      <c r="AA503" s="78"/>
      <c r="AB503" s="78"/>
      <c r="AC503" s="7">
        <v>45715</v>
      </c>
      <c r="AD503" s="316"/>
      <c r="AE503" s="7">
        <v>45741</v>
      </c>
      <c r="AF503" s="15"/>
      <c r="AG503" s="15"/>
      <c r="AH503" s="15"/>
      <c r="AI503" s="15"/>
      <c r="AJ503" s="15"/>
      <c r="AK503" s="15"/>
      <c r="AL503" s="15"/>
      <c r="AM503" s="15"/>
      <c r="AN503" s="15"/>
      <c r="AO503" s="15"/>
      <c r="AP503" s="15"/>
      <c r="AQ503" s="15"/>
      <c r="AR503" s="15"/>
      <c r="AS503" s="15"/>
      <c r="AT503" s="15"/>
      <c r="AU503" s="15"/>
      <c r="AV503" s="15"/>
      <c r="AW503" s="15"/>
      <c r="AX503" s="15"/>
      <c r="AY503" s="15"/>
    </row>
    <row r="504" spans="1:51" s="30" customFormat="1" ht="24.95" hidden="1" customHeight="1" x14ac:dyDescent="0.25">
      <c r="A504" s="109" t="s">
        <v>113</v>
      </c>
      <c r="B504" s="22">
        <v>28979</v>
      </c>
      <c r="C504" s="23">
        <v>19440</v>
      </c>
      <c r="D504" s="22">
        <v>9</v>
      </c>
      <c r="E504" s="22" t="s">
        <v>324</v>
      </c>
      <c r="F504" s="22"/>
      <c r="G504" s="22"/>
      <c r="H504" s="22" t="s">
        <v>164</v>
      </c>
      <c r="I504" s="22" t="s">
        <v>115</v>
      </c>
      <c r="J504" s="22" t="s">
        <v>62</v>
      </c>
      <c r="K504" s="22"/>
      <c r="L504" s="25">
        <v>45712</v>
      </c>
      <c r="M504" s="25"/>
      <c r="N504" s="22" t="s">
        <v>441</v>
      </c>
      <c r="O504" s="26">
        <v>5200</v>
      </c>
      <c r="P504" s="22" t="s">
        <v>80</v>
      </c>
      <c r="Q504" s="259">
        <f t="shared" si="21"/>
        <v>0.26748971193415638</v>
      </c>
      <c r="R504" s="217"/>
      <c r="S504" s="27"/>
      <c r="T504" s="24"/>
      <c r="U504" s="28" t="s">
        <v>66</v>
      </c>
      <c r="V504" s="25" t="s">
        <v>1262</v>
      </c>
      <c r="W504" s="24" t="s">
        <v>45</v>
      </c>
      <c r="X504" s="29">
        <v>71280</v>
      </c>
      <c r="Y504" s="24" t="s">
        <v>215</v>
      </c>
      <c r="Z504" s="24"/>
      <c r="AA504" s="78"/>
      <c r="AB504" s="78"/>
      <c r="AC504" s="7">
        <v>45717</v>
      </c>
      <c r="AD504" s="316"/>
      <c r="AE504" s="7">
        <v>45720</v>
      </c>
      <c r="AF504" s="15"/>
      <c r="AG504" s="15"/>
      <c r="AH504" s="15"/>
      <c r="AI504" s="15"/>
      <c r="AJ504" s="15"/>
      <c r="AK504" s="15"/>
      <c r="AL504" s="15"/>
      <c r="AM504" s="15"/>
      <c r="AN504" s="15"/>
      <c r="AO504" s="15"/>
      <c r="AP504" s="15"/>
      <c r="AQ504" s="15"/>
      <c r="AR504" s="15"/>
      <c r="AS504" s="15"/>
      <c r="AT504" s="15"/>
      <c r="AU504" s="15"/>
      <c r="AV504" s="15"/>
      <c r="AW504" s="15"/>
      <c r="AX504" s="15"/>
      <c r="AY504" s="15"/>
    </row>
    <row r="505" spans="1:51" s="30" customFormat="1" ht="24" hidden="1" customHeight="1" x14ac:dyDescent="0.25">
      <c r="A505" s="109" t="s">
        <v>267</v>
      </c>
      <c r="B505" s="22">
        <v>28190</v>
      </c>
      <c r="C505" s="23">
        <v>40000</v>
      </c>
      <c r="D505" s="22" t="s">
        <v>249</v>
      </c>
      <c r="E505" s="22" t="s">
        <v>457</v>
      </c>
      <c r="F505" s="22" t="s">
        <v>1263</v>
      </c>
      <c r="G505" s="22"/>
      <c r="H505" s="22" t="s">
        <v>37</v>
      </c>
      <c r="I505" s="22" t="s">
        <v>269</v>
      </c>
      <c r="J505" s="22" t="s">
        <v>62</v>
      </c>
      <c r="K505" s="22"/>
      <c r="L505" s="25">
        <v>45708</v>
      </c>
      <c r="M505" s="25"/>
      <c r="N505" s="22" t="s">
        <v>434</v>
      </c>
      <c r="O505" s="26">
        <f>3800*1.2175</f>
        <v>4626.5</v>
      </c>
      <c r="P505" s="22" t="s">
        <v>41</v>
      </c>
      <c r="Q505" s="259">
        <f t="shared" si="21"/>
        <v>0.1156625</v>
      </c>
      <c r="R505" s="217"/>
      <c r="S505" s="27"/>
      <c r="T505" s="24"/>
      <c r="U505" s="28" t="s">
        <v>66</v>
      </c>
      <c r="V505" s="25" t="s">
        <v>1262</v>
      </c>
      <c r="W505" s="24" t="s">
        <v>45</v>
      </c>
      <c r="X505" s="29">
        <v>114000</v>
      </c>
      <c r="Y505" s="24" t="s">
        <v>215</v>
      </c>
      <c r="Z505" s="24"/>
      <c r="AA505" s="78"/>
      <c r="AB505" s="78"/>
      <c r="AC505" s="7">
        <v>45717</v>
      </c>
      <c r="AD505" s="316"/>
      <c r="AE505" s="71">
        <v>45717</v>
      </c>
      <c r="AF505" s="15"/>
      <c r="AG505" s="15"/>
      <c r="AH505" s="15"/>
      <c r="AI505" s="15"/>
      <c r="AJ505" s="15"/>
      <c r="AK505" s="15"/>
      <c r="AL505" s="15"/>
      <c r="AM505" s="15"/>
      <c r="AN505" s="15"/>
      <c r="AO505" s="15"/>
      <c r="AP505" s="15"/>
      <c r="AQ505" s="15"/>
      <c r="AR505" s="15"/>
      <c r="AS505" s="15"/>
      <c r="AT505" s="15"/>
      <c r="AU505" s="15"/>
      <c r="AV505" s="15"/>
      <c r="AW505" s="15"/>
      <c r="AX505" s="15"/>
      <c r="AY505" s="15"/>
    </row>
    <row r="506" spans="1:51" s="30" customFormat="1" ht="23.1" hidden="1" customHeight="1" x14ac:dyDescent="0.25">
      <c r="A506" s="210" t="s">
        <v>267</v>
      </c>
      <c r="B506" s="31">
        <v>27790</v>
      </c>
      <c r="C506" s="32">
        <v>40000</v>
      </c>
      <c r="D506" s="31" t="s">
        <v>249</v>
      </c>
      <c r="E506" s="31" t="s">
        <v>1261</v>
      </c>
      <c r="F506" s="31" t="s">
        <v>1264</v>
      </c>
      <c r="G506" s="31"/>
      <c r="H506" s="31" t="s">
        <v>37</v>
      </c>
      <c r="I506" s="31" t="s">
        <v>269</v>
      </c>
      <c r="J506" s="31" t="s">
        <v>62</v>
      </c>
      <c r="K506" s="31"/>
      <c r="L506" s="34">
        <v>45713</v>
      </c>
      <c r="M506" s="563"/>
      <c r="N506" s="564" t="s">
        <v>1265</v>
      </c>
      <c r="O506" s="565">
        <f>3800*1.2175</f>
        <v>4626.5</v>
      </c>
      <c r="P506" s="31" t="s">
        <v>41</v>
      </c>
      <c r="Q506" s="258">
        <f t="shared" si="21"/>
        <v>0.1156625</v>
      </c>
      <c r="R506" s="102"/>
      <c r="S506" s="258"/>
      <c r="T506" s="34"/>
      <c r="U506" s="100" t="s">
        <v>66</v>
      </c>
      <c r="V506" s="34" t="s">
        <v>1266</v>
      </c>
      <c r="W506" s="33" t="s">
        <v>1252</v>
      </c>
      <c r="X506" s="50">
        <v>160000</v>
      </c>
      <c r="Y506" s="33" t="s">
        <v>215</v>
      </c>
      <c r="Z506" s="33"/>
      <c r="AA506" s="78"/>
      <c r="AB506" s="78"/>
      <c r="AC506" s="7">
        <v>45726</v>
      </c>
      <c r="AD506" s="38"/>
      <c r="AE506" s="71">
        <v>45717</v>
      </c>
      <c r="AF506" s="15"/>
      <c r="AG506" s="15"/>
      <c r="AH506" s="15"/>
      <c r="AI506" s="15"/>
      <c r="AJ506" s="15"/>
      <c r="AK506" s="15"/>
      <c r="AL506" s="15"/>
      <c r="AM506" s="15"/>
      <c r="AN506" s="15"/>
      <c r="AO506" s="15"/>
      <c r="AP506" s="15"/>
      <c r="AQ506" s="15"/>
      <c r="AR506" s="15"/>
      <c r="AS506" s="15"/>
      <c r="AT506" s="15"/>
      <c r="AU506" s="15"/>
      <c r="AV506" s="15"/>
      <c r="AW506" s="15"/>
      <c r="AX506" s="15"/>
      <c r="AY506" s="15"/>
    </row>
    <row r="507" spans="1:51" s="15" customFormat="1" ht="23.1" hidden="1" customHeight="1" x14ac:dyDescent="0.25">
      <c r="A507" s="568" t="s">
        <v>459</v>
      </c>
      <c r="B507" s="6">
        <v>28165</v>
      </c>
      <c r="C507" s="5">
        <v>44000</v>
      </c>
      <c r="D507" s="6" t="s">
        <v>105</v>
      </c>
      <c r="E507" s="6" t="s">
        <v>474</v>
      </c>
      <c r="F507" s="6" t="s">
        <v>1267</v>
      </c>
      <c r="G507" s="6" t="s">
        <v>36</v>
      </c>
      <c r="H507" s="4" t="s">
        <v>51</v>
      </c>
      <c r="I507" s="4" t="s">
        <v>52</v>
      </c>
      <c r="J507" s="4"/>
      <c r="K507" s="4"/>
      <c r="L507" s="7">
        <v>45645</v>
      </c>
      <c r="M507" s="7"/>
      <c r="N507" s="6" t="s">
        <v>40</v>
      </c>
      <c r="O507" s="13">
        <v>575</v>
      </c>
      <c r="P507" s="6" t="s">
        <v>80</v>
      </c>
      <c r="Q507" s="19">
        <f t="shared" si="21"/>
        <v>1.3068181818181817E-2</v>
      </c>
      <c r="R507" s="219"/>
      <c r="S507" s="41"/>
      <c r="T507" s="7">
        <v>45717</v>
      </c>
      <c r="U507" s="67" t="s">
        <v>43</v>
      </c>
      <c r="V507" s="7" t="s">
        <v>1266</v>
      </c>
      <c r="W507" s="10" t="s">
        <v>67</v>
      </c>
      <c r="X507" s="236">
        <v>51000</v>
      </c>
      <c r="Y507" s="11" t="s">
        <v>46</v>
      </c>
      <c r="Z507" s="11"/>
      <c r="AA507" s="78"/>
      <c r="AB507" s="7">
        <v>45728</v>
      </c>
      <c r="AC507" s="7">
        <v>45722</v>
      </c>
      <c r="AD507" s="38"/>
      <c r="AE507" s="263">
        <v>45740</v>
      </c>
    </row>
    <row r="508" spans="1:51" s="30" customFormat="1" ht="24" hidden="1" customHeight="1" x14ac:dyDescent="0.25">
      <c r="A508" s="109" t="s">
        <v>267</v>
      </c>
      <c r="B508" s="22">
        <v>28184</v>
      </c>
      <c r="C508" s="23">
        <v>40000</v>
      </c>
      <c r="D508" s="22" t="s">
        <v>249</v>
      </c>
      <c r="E508" s="22" t="s">
        <v>1203</v>
      </c>
      <c r="F508" s="22"/>
      <c r="G508" s="22"/>
      <c r="H508" s="22" t="s">
        <v>37</v>
      </c>
      <c r="I508" s="22" t="s">
        <v>269</v>
      </c>
      <c r="J508" s="22" t="s">
        <v>62</v>
      </c>
      <c r="K508" s="22"/>
      <c r="L508" s="25">
        <v>45721</v>
      </c>
      <c r="M508" s="25"/>
      <c r="N508" s="22" t="s">
        <v>1265</v>
      </c>
      <c r="O508" s="26">
        <f>3800*1.22</f>
        <v>4636</v>
      </c>
      <c r="P508" s="22" t="s">
        <v>41</v>
      </c>
      <c r="Q508" s="259">
        <f t="shared" si="21"/>
        <v>0.1159</v>
      </c>
      <c r="R508" s="217"/>
      <c r="S508" s="27"/>
      <c r="T508" s="24"/>
      <c r="U508" s="28" t="s">
        <v>66</v>
      </c>
      <c r="V508" s="25" t="s">
        <v>1268</v>
      </c>
      <c r="W508" s="24" t="s">
        <v>45</v>
      </c>
      <c r="X508" s="29">
        <v>130000</v>
      </c>
      <c r="Y508" s="24" t="s">
        <v>215</v>
      </c>
      <c r="Z508" s="24"/>
      <c r="AA508" s="78"/>
      <c r="AB508" s="78"/>
      <c r="AC508" s="7">
        <v>45728</v>
      </c>
      <c r="AD508" s="316"/>
      <c r="AE508" s="7">
        <v>45721</v>
      </c>
      <c r="AF508" s="15"/>
      <c r="AG508" s="15"/>
      <c r="AH508" s="15"/>
      <c r="AI508" s="15"/>
      <c r="AJ508" s="15"/>
      <c r="AK508" s="15"/>
      <c r="AL508" s="15"/>
      <c r="AM508" s="15"/>
      <c r="AN508" s="15"/>
      <c r="AO508" s="15"/>
      <c r="AP508" s="15"/>
      <c r="AQ508" s="15"/>
      <c r="AR508" s="15"/>
      <c r="AS508" s="15"/>
      <c r="AT508" s="15"/>
      <c r="AU508" s="15"/>
      <c r="AV508" s="15"/>
      <c r="AW508" s="15"/>
      <c r="AX508" s="15"/>
      <c r="AY508" s="15"/>
    </row>
    <row r="509" spans="1:51" s="15" customFormat="1" ht="23.1" hidden="1" customHeight="1" x14ac:dyDescent="0.25">
      <c r="A509" s="568" t="s">
        <v>1185</v>
      </c>
      <c r="B509" s="6">
        <v>28272</v>
      </c>
      <c r="C509" s="5">
        <v>55000</v>
      </c>
      <c r="D509" s="6" t="s">
        <v>33</v>
      </c>
      <c r="E509" s="6" t="s">
        <v>1269</v>
      </c>
      <c r="F509" s="6" t="s">
        <v>1270</v>
      </c>
      <c r="G509" s="6" t="s">
        <v>345</v>
      </c>
      <c r="H509" s="4" t="s">
        <v>51</v>
      </c>
      <c r="I509" s="4" t="s">
        <v>52</v>
      </c>
      <c r="J509" s="4" t="s">
        <v>75</v>
      </c>
      <c r="K509" s="4"/>
      <c r="L509" s="7">
        <v>45293</v>
      </c>
      <c r="M509" s="7"/>
      <c r="N509" s="6" t="s">
        <v>40</v>
      </c>
      <c r="O509" s="13">
        <v>545</v>
      </c>
      <c r="P509" s="6" t="s">
        <v>80</v>
      </c>
      <c r="Q509" s="19">
        <f t="shared" si="21"/>
        <v>9.9090909090909091E-3</v>
      </c>
      <c r="R509" s="7">
        <v>45694</v>
      </c>
      <c r="S509" s="41" t="s">
        <v>65</v>
      </c>
      <c r="T509" s="7">
        <v>45722</v>
      </c>
      <c r="U509" s="67" t="s">
        <v>76</v>
      </c>
      <c r="V509" s="7" t="s">
        <v>1268</v>
      </c>
      <c r="W509" s="10" t="s">
        <v>67</v>
      </c>
      <c r="X509" s="236">
        <f>59375+8650</f>
        <v>68025</v>
      </c>
      <c r="Y509" s="11" t="s">
        <v>46</v>
      </c>
      <c r="Z509" s="11"/>
      <c r="AA509" s="78"/>
      <c r="AB509" s="7">
        <v>45733</v>
      </c>
      <c r="AC509" s="7">
        <v>45722</v>
      </c>
      <c r="AD509" s="38"/>
      <c r="AE509" s="7">
        <v>45740</v>
      </c>
    </row>
    <row r="510" spans="1:51" s="15" customFormat="1" ht="23.1" hidden="1" customHeight="1" x14ac:dyDescent="0.25">
      <c r="A510" s="561" t="s">
        <v>470</v>
      </c>
      <c r="B510" s="6">
        <v>28130</v>
      </c>
      <c r="C510" s="5">
        <v>55000</v>
      </c>
      <c r="D510" s="6" t="s">
        <v>33</v>
      </c>
      <c r="E510" s="6" t="s">
        <v>471</v>
      </c>
      <c r="F510" s="6" t="s">
        <v>1271</v>
      </c>
      <c r="G510" s="6" t="s">
        <v>36</v>
      </c>
      <c r="H510" s="4" t="s">
        <v>109</v>
      </c>
      <c r="I510" s="4" t="s">
        <v>52</v>
      </c>
      <c r="J510" s="4" t="s">
        <v>473</v>
      </c>
      <c r="K510" s="4"/>
      <c r="L510" s="7">
        <v>45654</v>
      </c>
      <c r="M510" s="7"/>
      <c r="N510" s="6" t="s">
        <v>40</v>
      </c>
      <c r="O510" s="13">
        <v>575</v>
      </c>
      <c r="P510" s="6" t="s">
        <v>80</v>
      </c>
      <c r="Q510" s="19">
        <f t="shared" si="21"/>
        <v>1.0454545454545454E-2</v>
      </c>
      <c r="R510" s="7">
        <v>45696</v>
      </c>
      <c r="S510" s="41" t="s">
        <v>121</v>
      </c>
      <c r="T510" s="7">
        <v>45726</v>
      </c>
      <c r="U510" s="17" t="s">
        <v>76</v>
      </c>
      <c r="V510" s="7" t="s">
        <v>1268</v>
      </c>
      <c r="W510" s="7" t="s">
        <v>67</v>
      </c>
      <c r="X510" s="236">
        <v>52635</v>
      </c>
      <c r="Y510" s="11" t="s">
        <v>68</v>
      </c>
      <c r="Z510" s="11"/>
      <c r="AA510" s="7">
        <v>45733</v>
      </c>
      <c r="AB510" s="7"/>
      <c r="AC510" s="7">
        <v>45726</v>
      </c>
      <c r="AD510" s="38"/>
      <c r="AE510" s="7">
        <v>45740</v>
      </c>
    </row>
    <row r="511" spans="1:51" s="30" customFormat="1" ht="24" hidden="1" customHeight="1" x14ac:dyDescent="0.25">
      <c r="A511" s="109" t="s">
        <v>682</v>
      </c>
      <c r="B511" s="22">
        <v>28760</v>
      </c>
      <c r="C511" s="23">
        <v>16400</v>
      </c>
      <c r="D511" s="22">
        <v>8</v>
      </c>
      <c r="E511" s="22" t="s">
        <v>1272</v>
      </c>
      <c r="F511" s="22"/>
      <c r="G511" s="22"/>
      <c r="H511" s="22" t="s">
        <v>164</v>
      </c>
      <c r="I511" s="22" t="s">
        <v>1211</v>
      </c>
      <c r="J511" s="22" t="s">
        <v>62</v>
      </c>
      <c r="K511" s="22"/>
      <c r="L511" s="25">
        <v>45728</v>
      </c>
      <c r="M511" s="25"/>
      <c r="N511" s="22" t="s">
        <v>103</v>
      </c>
      <c r="O511" s="26">
        <v>2995</v>
      </c>
      <c r="P511" s="22" t="s">
        <v>80</v>
      </c>
      <c r="Q511" s="259">
        <f t="shared" si="21"/>
        <v>0.18262195121951219</v>
      </c>
      <c r="R511" s="217"/>
      <c r="S511" s="27"/>
      <c r="T511" s="24"/>
      <c r="U511" s="28" t="s">
        <v>66</v>
      </c>
      <c r="V511" s="25" t="s">
        <v>1268</v>
      </c>
      <c r="W511" s="24" t="s">
        <v>45</v>
      </c>
      <c r="X511" s="29">
        <v>145494</v>
      </c>
      <c r="Y511" s="24" t="s">
        <v>215</v>
      </c>
      <c r="Z511" s="24"/>
      <c r="AA511" s="78"/>
      <c r="AB511" s="78"/>
      <c r="AC511" s="7">
        <v>45733</v>
      </c>
      <c r="AD511" s="316"/>
      <c r="AE511" s="7">
        <v>45742</v>
      </c>
      <c r="AF511" s="15"/>
      <c r="AG511" s="15"/>
      <c r="AH511" s="15"/>
      <c r="AI511" s="15"/>
      <c r="AJ511" s="15"/>
      <c r="AK511" s="15"/>
      <c r="AL511" s="15"/>
      <c r="AM511" s="15"/>
      <c r="AN511" s="15"/>
      <c r="AO511" s="15"/>
      <c r="AP511" s="15"/>
      <c r="AQ511" s="15"/>
      <c r="AR511" s="15"/>
      <c r="AS511" s="15"/>
      <c r="AT511" s="15"/>
      <c r="AU511" s="15"/>
      <c r="AV511" s="15"/>
      <c r="AW511" s="15"/>
      <c r="AX511" s="15"/>
      <c r="AY511" s="15"/>
    </row>
    <row r="512" spans="1:51" s="15" customFormat="1" ht="24.95" hidden="1" customHeight="1" x14ac:dyDescent="0.25">
      <c r="A512" s="421" t="s">
        <v>136</v>
      </c>
      <c r="B512" s="167">
        <v>28385</v>
      </c>
      <c r="C512" s="168">
        <v>26400</v>
      </c>
      <c r="D512" s="881" t="s">
        <v>33</v>
      </c>
      <c r="E512" s="167" t="s">
        <v>1273</v>
      </c>
      <c r="F512" s="167" t="s">
        <v>1274</v>
      </c>
      <c r="G512" s="167" t="s">
        <v>36</v>
      </c>
      <c r="H512" s="169" t="s">
        <v>37</v>
      </c>
      <c r="I512" s="169" t="s">
        <v>97</v>
      </c>
      <c r="J512" s="169" t="s">
        <v>98</v>
      </c>
      <c r="K512" s="169"/>
      <c r="L512" s="7">
        <v>45687</v>
      </c>
      <c r="M512" s="64" t="s">
        <v>99</v>
      </c>
      <c r="N512" s="73" t="s">
        <v>40</v>
      </c>
      <c r="O512" s="177">
        <f>3630+50</f>
        <v>3680</v>
      </c>
      <c r="P512" s="6" t="s">
        <v>41</v>
      </c>
      <c r="Q512" s="19">
        <f t="shared" si="21"/>
        <v>0.1393939393939394</v>
      </c>
      <c r="R512" s="415"/>
      <c r="S512" s="156"/>
      <c r="T512" s="7">
        <v>45727</v>
      </c>
      <c r="U512" s="67" t="s">
        <v>43</v>
      </c>
      <c r="V512" s="7" t="s">
        <v>1268</v>
      </c>
      <c r="W512" s="7" t="s">
        <v>67</v>
      </c>
      <c r="X512" s="236">
        <v>107800</v>
      </c>
      <c r="Y512" s="171" t="s">
        <v>68</v>
      </c>
      <c r="Z512" s="171"/>
      <c r="AA512" s="7">
        <v>45734</v>
      </c>
      <c r="AB512" s="7">
        <v>45734</v>
      </c>
      <c r="AC512" s="7">
        <v>45728</v>
      </c>
      <c r="AD512" s="38"/>
      <c r="AE512" s="263">
        <v>45729</v>
      </c>
    </row>
    <row r="513" spans="1:51" s="15" customFormat="1" ht="24.95" hidden="1" customHeight="1" x14ac:dyDescent="0.25">
      <c r="A513" s="427" t="s">
        <v>524</v>
      </c>
      <c r="B513" s="167">
        <v>28388</v>
      </c>
      <c r="C513" s="168">
        <v>4400</v>
      </c>
      <c r="D513" s="882"/>
      <c r="E513" s="167" t="s">
        <v>525</v>
      </c>
      <c r="F513" s="167" t="s">
        <v>1274</v>
      </c>
      <c r="G513" s="167" t="s">
        <v>36</v>
      </c>
      <c r="H513" s="169" t="s">
        <v>37</v>
      </c>
      <c r="I513" s="169" t="s">
        <v>97</v>
      </c>
      <c r="J513" s="169" t="s">
        <v>98</v>
      </c>
      <c r="K513" s="169"/>
      <c r="L513" s="7">
        <v>45687</v>
      </c>
      <c r="M513" s="64"/>
      <c r="N513" s="73"/>
      <c r="O513" s="177"/>
      <c r="P513" s="6"/>
      <c r="Q513" s="19">
        <f t="shared" si="21"/>
        <v>0</v>
      </c>
      <c r="R513" s="219"/>
      <c r="S513" s="156"/>
      <c r="T513" s="7">
        <v>45727</v>
      </c>
      <c r="U513" s="67" t="s">
        <v>43</v>
      </c>
      <c r="V513" s="7" t="s">
        <v>1268</v>
      </c>
      <c r="W513" s="7" t="s">
        <v>67</v>
      </c>
      <c r="X513" s="236">
        <v>7800</v>
      </c>
      <c r="Y513" s="171" t="s">
        <v>68</v>
      </c>
      <c r="Z513" s="171"/>
      <c r="AA513" s="7">
        <v>45734</v>
      </c>
      <c r="AB513" s="7">
        <v>45734</v>
      </c>
      <c r="AC513" s="7">
        <v>45728</v>
      </c>
      <c r="AD513" s="38"/>
      <c r="AE513" s="263">
        <v>45729</v>
      </c>
    </row>
    <row r="514" spans="1:51" s="30" customFormat="1" ht="24.95" hidden="1" customHeight="1" x14ac:dyDescent="0.25">
      <c r="A514" s="109" t="s">
        <v>399</v>
      </c>
      <c r="B514" s="22">
        <v>29230</v>
      </c>
      <c r="C514" s="23">
        <v>54000</v>
      </c>
      <c r="D514" s="22" t="s">
        <v>249</v>
      </c>
      <c r="E514" s="22" t="s">
        <v>1275</v>
      </c>
      <c r="F514" s="22" t="s">
        <v>1276</v>
      </c>
      <c r="G514" s="22"/>
      <c r="H514" s="22" t="s">
        <v>37</v>
      </c>
      <c r="I514" s="22" t="s">
        <v>1277</v>
      </c>
      <c r="J514" s="22" t="s">
        <v>53</v>
      </c>
      <c r="K514" s="22"/>
      <c r="L514" s="25">
        <v>45730</v>
      </c>
      <c r="M514" s="25"/>
      <c r="N514" s="22" t="s">
        <v>1278</v>
      </c>
      <c r="O514" s="26">
        <v>2195</v>
      </c>
      <c r="P514" s="22" t="s">
        <v>80</v>
      </c>
      <c r="Q514" s="259">
        <f t="shared" si="21"/>
        <v>4.0648148148148149E-2</v>
      </c>
      <c r="R514" s="217"/>
      <c r="S514" s="27"/>
      <c r="T514" s="24"/>
      <c r="U514" s="28" t="s">
        <v>66</v>
      </c>
      <c r="V514" s="25" t="s">
        <v>1268</v>
      </c>
      <c r="W514" s="24" t="s">
        <v>45</v>
      </c>
      <c r="X514" s="29">
        <v>28100</v>
      </c>
      <c r="Y514" s="24" t="s">
        <v>215</v>
      </c>
      <c r="Z514" s="24"/>
      <c r="AA514" s="78"/>
      <c r="AB514" s="78"/>
      <c r="AC514" s="78"/>
      <c r="AD514" s="316"/>
      <c r="AE514" s="7">
        <v>45735</v>
      </c>
      <c r="AF514" s="15"/>
      <c r="AG514" s="15"/>
      <c r="AH514" s="15"/>
      <c r="AI514" s="15"/>
      <c r="AJ514" s="15"/>
      <c r="AK514" s="15"/>
      <c r="AL514" s="15"/>
      <c r="AM514" s="15"/>
      <c r="AN514" s="15"/>
      <c r="AO514" s="15"/>
      <c r="AP514" s="15"/>
      <c r="AQ514" s="15"/>
      <c r="AR514" s="15"/>
      <c r="AS514" s="15"/>
      <c r="AT514" s="15"/>
      <c r="AU514" s="15"/>
      <c r="AV514" s="15"/>
      <c r="AW514" s="15"/>
      <c r="AX514" s="15"/>
    </row>
    <row r="515" spans="1:51" s="30" customFormat="1" ht="24.95" hidden="1" customHeight="1" x14ac:dyDescent="0.25">
      <c r="A515" s="21" t="s">
        <v>251</v>
      </c>
      <c r="B515" s="22">
        <v>27877</v>
      </c>
      <c r="C515" s="23">
        <v>40500</v>
      </c>
      <c r="D515" s="22" t="s">
        <v>249</v>
      </c>
      <c r="E515" s="22" t="s">
        <v>421</v>
      </c>
      <c r="F515" s="22" t="s">
        <v>1279</v>
      </c>
      <c r="G515" s="22"/>
      <c r="H515" s="22" t="s">
        <v>37</v>
      </c>
      <c r="I515" s="22" t="s">
        <v>253</v>
      </c>
      <c r="J515" s="22" t="s">
        <v>62</v>
      </c>
      <c r="K515" s="22"/>
      <c r="L515" s="25">
        <v>45728</v>
      </c>
      <c r="M515" s="25"/>
      <c r="N515" s="22" t="s">
        <v>434</v>
      </c>
      <c r="O515" s="26">
        <f>3400*1.21</f>
        <v>4114</v>
      </c>
      <c r="P515" s="22" t="s">
        <v>41</v>
      </c>
      <c r="Q515" s="259">
        <f t="shared" si="21"/>
        <v>0.10158024691358025</v>
      </c>
      <c r="R515" s="217"/>
      <c r="S515" s="27"/>
      <c r="T515" s="24"/>
      <c r="U515" s="28" t="s">
        <v>66</v>
      </c>
      <c r="V515" s="25" t="s">
        <v>1268</v>
      </c>
      <c r="W515" s="24" t="s">
        <v>45</v>
      </c>
      <c r="X515" s="29">
        <v>121200</v>
      </c>
      <c r="Y515" s="24" t="s">
        <v>215</v>
      </c>
      <c r="Z515" s="24"/>
      <c r="AA515" s="78"/>
      <c r="AB515" s="78"/>
      <c r="AC515" s="7">
        <v>45735</v>
      </c>
      <c r="AD515" s="316" t="s">
        <v>1200</v>
      </c>
      <c r="AE515" s="7">
        <v>45731</v>
      </c>
      <c r="AF515" s="15"/>
      <c r="AG515" s="15"/>
      <c r="AH515" s="15"/>
      <c r="AI515" s="15"/>
      <c r="AJ515" s="15"/>
      <c r="AK515" s="15"/>
      <c r="AL515" s="15"/>
      <c r="AM515" s="15"/>
      <c r="AN515" s="15"/>
      <c r="AO515" s="15"/>
      <c r="AP515" s="15"/>
      <c r="AQ515" s="15"/>
      <c r="AR515" s="15"/>
      <c r="AS515" s="15"/>
      <c r="AT515" s="15"/>
      <c r="AU515" s="15"/>
      <c r="AV515" s="15"/>
      <c r="AW515" s="15"/>
      <c r="AX515" s="15"/>
    </row>
    <row r="516" spans="1:51" s="30" customFormat="1" ht="24.95" hidden="1" customHeight="1" x14ac:dyDescent="0.25">
      <c r="A516" s="109" t="s">
        <v>251</v>
      </c>
      <c r="B516" s="22">
        <v>27879</v>
      </c>
      <c r="C516" s="23">
        <v>40500</v>
      </c>
      <c r="D516" s="22" t="s">
        <v>249</v>
      </c>
      <c r="E516" s="22" t="s">
        <v>828</v>
      </c>
      <c r="F516" s="22" t="s">
        <v>1280</v>
      </c>
      <c r="G516" s="22"/>
      <c r="H516" s="22" t="s">
        <v>37</v>
      </c>
      <c r="I516" s="22" t="s">
        <v>253</v>
      </c>
      <c r="J516" s="22" t="s">
        <v>62</v>
      </c>
      <c r="K516" s="22"/>
      <c r="L516" s="25">
        <v>45728</v>
      </c>
      <c r="M516" s="25"/>
      <c r="N516" s="22" t="s">
        <v>434</v>
      </c>
      <c r="O516" s="26">
        <f>3400*1.21</f>
        <v>4114</v>
      </c>
      <c r="P516" s="22" t="s">
        <v>41</v>
      </c>
      <c r="Q516" s="259">
        <f t="shared" si="21"/>
        <v>0.10158024691358025</v>
      </c>
      <c r="R516" s="217"/>
      <c r="S516" s="27"/>
      <c r="T516" s="24"/>
      <c r="U516" s="28" t="s">
        <v>66</v>
      </c>
      <c r="V516" s="25" t="s">
        <v>1268</v>
      </c>
      <c r="W516" s="24" t="s">
        <v>45</v>
      </c>
      <c r="X516" s="29">
        <v>124125</v>
      </c>
      <c r="Y516" s="24" t="s">
        <v>215</v>
      </c>
      <c r="Z516" s="24"/>
      <c r="AA516" s="78"/>
      <c r="AB516" s="78"/>
      <c r="AC516" s="7">
        <v>45735</v>
      </c>
      <c r="AD516" s="316" t="s">
        <v>1200</v>
      </c>
      <c r="AE516" s="7">
        <v>45728</v>
      </c>
      <c r="AF516" s="15"/>
      <c r="AG516" s="15"/>
      <c r="AH516" s="15"/>
      <c r="AI516" s="15"/>
      <c r="AJ516" s="15"/>
      <c r="AK516" s="15"/>
      <c r="AL516" s="15"/>
      <c r="AM516" s="15"/>
      <c r="AN516" s="15"/>
      <c r="AO516" s="15"/>
      <c r="AP516" s="15"/>
      <c r="AQ516" s="15"/>
      <c r="AR516" s="15"/>
      <c r="AS516" s="15"/>
      <c r="AT516" s="15"/>
      <c r="AU516" s="15"/>
      <c r="AV516" s="15"/>
      <c r="AW516" s="15"/>
      <c r="AX516" s="15"/>
    </row>
    <row r="517" spans="1:51" s="3" customFormat="1" ht="24.95" hidden="1" customHeight="1" x14ac:dyDescent="0.25">
      <c r="A517" s="209" t="s">
        <v>1281</v>
      </c>
      <c r="B517" s="6">
        <v>28981</v>
      </c>
      <c r="C517" s="44">
        <v>3300</v>
      </c>
      <c r="D517" s="4">
        <v>2</v>
      </c>
      <c r="E517" s="6" t="s">
        <v>1282</v>
      </c>
      <c r="F517" s="167" t="s">
        <v>1283</v>
      </c>
      <c r="G517" s="6" t="s">
        <v>108</v>
      </c>
      <c r="H517" s="6" t="s">
        <v>51</v>
      </c>
      <c r="I517" s="6" t="s">
        <v>52</v>
      </c>
      <c r="J517" s="6" t="s">
        <v>1284</v>
      </c>
      <c r="K517" s="6"/>
      <c r="L517" s="7">
        <v>45713</v>
      </c>
      <c r="M517" s="7"/>
      <c r="N517" s="6" t="s">
        <v>45</v>
      </c>
      <c r="O517" s="177"/>
      <c r="P517" s="6"/>
      <c r="Q517" s="19">
        <f t="shared" si="21"/>
        <v>0</v>
      </c>
      <c r="R517" s="7"/>
      <c r="S517" s="156"/>
      <c r="T517" s="7">
        <v>45727</v>
      </c>
      <c r="U517" s="46" t="s">
        <v>43</v>
      </c>
      <c r="V517" s="7" t="s">
        <v>1268</v>
      </c>
      <c r="W517" s="10" t="s">
        <v>45</v>
      </c>
      <c r="X517" s="236">
        <f>10725-4793.56</f>
        <v>5931.44</v>
      </c>
      <c r="Y517" s="11" t="s">
        <v>46</v>
      </c>
      <c r="Z517" s="11"/>
      <c r="AA517" s="78"/>
      <c r="AB517" s="7">
        <v>45728</v>
      </c>
      <c r="AC517" s="7">
        <v>45729</v>
      </c>
      <c r="AE517" s="71" t="s">
        <v>378</v>
      </c>
      <c r="AF517" s="208"/>
      <c r="AG517" s="208"/>
      <c r="AH517" s="208"/>
      <c r="AI517" s="208"/>
      <c r="AJ517" s="208"/>
      <c r="AK517" s="208"/>
      <c r="AL517" s="208"/>
      <c r="AM517" s="208"/>
      <c r="AN517" s="208"/>
      <c r="AO517" s="208"/>
      <c r="AP517" s="208"/>
      <c r="AQ517" s="208"/>
      <c r="AR517" s="208"/>
      <c r="AS517" s="208"/>
      <c r="AT517" s="208"/>
    </row>
    <row r="518" spans="1:51" s="30" customFormat="1" ht="24.95" hidden="1" customHeight="1" x14ac:dyDescent="0.25">
      <c r="A518" s="21" t="s">
        <v>438</v>
      </c>
      <c r="B518" s="22">
        <v>29078</v>
      </c>
      <c r="C518" s="23">
        <v>40000</v>
      </c>
      <c r="D518" s="22" t="s">
        <v>249</v>
      </c>
      <c r="E518" s="22" t="s">
        <v>1285</v>
      </c>
      <c r="F518" s="22" t="s">
        <v>1286</v>
      </c>
      <c r="G518" s="22"/>
      <c r="H518" s="22" t="s">
        <v>164</v>
      </c>
      <c r="I518" s="22" t="s">
        <v>821</v>
      </c>
      <c r="J518" s="22" t="s">
        <v>62</v>
      </c>
      <c r="K518" s="22"/>
      <c r="L518" s="25">
        <v>45728</v>
      </c>
      <c r="M518" s="25"/>
      <c r="N518" s="22" t="s">
        <v>434</v>
      </c>
      <c r="O518" s="26">
        <f>3350*1.21</f>
        <v>4053.5</v>
      </c>
      <c r="P518" s="22" t="s">
        <v>41</v>
      </c>
      <c r="Q518" s="259">
        <f t="shared" si="21"/>
        <v>0.1013375</v>
      </c>
      <c r="R518" s="217"/>
      <c r="S518" s="27"/>
      <c r="T518" s="24"/>
      <c r="U518" s="28" t="s">
        <v>66</v>
      </c>
      <c r="V518" s="25" t="s">
        <v>1268</v>
      </c>
      <c r="W518" s="24" t="s">
        <v>45</v>
      </c>
      <c r="X518" s="29">
        <v>115640</v>
      </c>
      <c r="Y518" s="24" t="s">
        <v>215</v>
      </c>
      <c r="Z518" s="24"/>
      <c r="AA518" s="78"/>
      <c r="AB518" s="78"/>
      <c r="AC518" s="7">
        <v>45735</v>
      </c>
      <c r="AD518" s="316"/>
      <c r="AE518" s="7">
        <v>45728</v>
      </c>
      <c r="AF518" s="15"/>
      <c r="AG518" s="15"/>
      <c r="AH518" s="15"/>
      <c r="AI518" s="15"/>
      <c r="AJ518" s="15"/>
      <c r="AK518" s="15"/>
      <c r="AL518" s="15"/>
      <c r="AM518" s="15"/>
      <c r="AN518" s="15"/>
      <c r="AO518" s="15"/>
      <c r="AP518" s="15"/>
      <c r="AQ518" s="15"/>
      <c r="AR518" s="15"/>
      <c r="AS518" s="15"/>
      <c r="AT518" s="15"/>
      <c r="AU518" s="15"/>
      <c r="AV518" s="15"/>
      <c r="AW518" s="15"/>
      <c r="AX518" s="15"/>
    </row>
    <row r="519" spans="1:51" s="30" customFormat="1" ht="24.95" hidden="1" customHeight="1" x14ac:dyDescent="0.25">
      <c r="A519" s="109" t="s">
        <v>267</v>
      </c>
      <c r="B519" s="22">
        <v>28188</v>
      </c>
      <c r="C519" s="23">
        <v>40000</v>
      </c>
      <c r="D519" s="22" t="s">
        <v>249</v>
      </c>
      <c r="E519" s="22" t="s">
        <v>1201</v>
      </c>
      <c r="F519" s="22" t="s">
        <v>1287</v>
      </c>
      <c r="G519" s="22"/>
      <c r="H519" s="22" t="s">
        <v>37</v>
      </c>
      <c r="I519" s="22" t="s">
        <v>269</v>
      </c>
      <c r="J519" s="22" t="s">
        <v>62</v>
      </c>
      <c r="K519" s="22"/>
      <c r="L519" s="25">
        <v>45726</v>
      </c>
      <c r="M519" s="25"/>
      <c r="N519" s="22" t="s">
        <v>434</v>
      </c>
      <c r="O519" s="26">
        <f>3800*1.2175</f>
        <v>4626.5</v>
      </c>
      <c r="P519" s="22" t="s">
        <v>41</v>
      </c>
      <c r="Q519" s="259">
        <f t="shared" si="21"/>
        <v>0.1156625</v>
      </c>
      <c r="R519" s="217"/>
      <c r="S519" s="27"/>
      <c r="T519" s="24"/>
      <c r="U519" s="28" t="s">
        <v>66</v>
      </c>
      <c r="V519" s="25" t="s">
        <v>1288</v>
      </c>
      <c r="W519" s="24" t="s">
        <v>67</v>
      </c>
      <c r="X519" s="29">
        <v>112000</v>
      </c>
      <c r="Y519" s="24" t="s">
        <v>215</v>
      </c>
      <c r="Z519" s="24"/>
      <c r="AA519" s="78"/>
      <c r="AB519" s="78"/>
      <c r="AC519" s="7">
        <v>45739</v>
      </c>
      <c r="AD519" s="316"/>
      <c r="AE519" s="7">
        <v>45726</v>
      </c>
      <c r="AF519" s="15"/>
      <c r="AG519" s="15"/>
      <c r="AH519" s="15"/>
      <c r="AI519" s="15"/>
      <c r="AJ519" s="15"/>
      <c r="AK519" s="15"/>
      <c r="AL519" s="15"/>
      <c r="AM519" s="15"/>
      <c r="AN519" s="15"/>
      <c r="AO519" s="15"/>
      <c r="AP519" s="15"/>
      <c r="AQ519" s="15"/>
      <c r="AR519" s="15"/>
      <c r="AS519" s="15"/>
      <c r="AT519" s="15"/>
      <c r="AU519" s="15"/>
      <c r="AV519" s="15"/>
      <c r="AW519" s="15"/>
      <c r="AX519" s="15"/>
    </row>
    <row r="520" spans="1:51" s="15" customFormat="1" ht="21" hidden="1" customHeight="1" x14ac:dyDescent="0.25">
      <c r="A520" s="427" t="s">
        <v>470</v>
      </c>
      <c r="B520" s="167">
        <v>28131</v>
      </c>
      <c r="C520" s="5">
        <v>55000</v>
      </c>
      <c r="D520" s="167" t="s">
        <v>33</v>
      </c>
      <c r="E520" s="167" t="s">
        <v>471</v>
      </c>
      <c r="F520" s="167" t="s">
        <v>1289</v>
      </c>
      <c r="G520" s="167" t="s">
        <v>36</v>
      </c>
      <c r="H520" s="169" t="s">
        <v>109</v>
      </c>
      <c r="I520" s="169" t="s">
        <v>52</v>
      </c>
      <c r="J520" s="169" t="s">
        <v>473</v>
      </c>
      <c r="K520" s="169"/>
      <c r="L520" s="7">
        <v>45683</v>
      </c>
      <c r="M520" s="64"/>
      <c r="N520" s="6" t="s">
        <v>40</v>
      </c>
      <c r="O520" s="177">
        <v>575</v>
      </c>
      <c r="P520" s="6" t="s">
        <v>80</v>
      </c>
      <c r="Q520" s="19">
        <f t="shared" si="21"/>
        <v>1.0454545454545454E-2</v>
      </c>
      <c r="R520" s="65"/>
      <c r="S520" s="41"/>
      <c r="T520" s="7">
        <v>45736</v>
      </c>
      <c r="U520" s="46" t="s">
        <v>43</v>
      </c>
      <c r="V520" s="7" t="s">
        <v>1288</v>
      </c>
      <c r="W520" s="11" t="s">
        <v>67</v>
      </c>
      <c r="X520" s="236">
        <v>52640</v>
      </c>
      <c r="Y520" s="171" t="s">
        <v>68</v>
      </c>
      <c r="Z520" s="171"/>
      <c r="AA520" s="7">
        <v>45741</v>
      </c>
      <c r="AB520" s="7">
        <v>45742</v>
      </c>
      <c r="AC520" s="7">
        <v>45736</v>
      </c>
      <c r="AD520" s="38"/>
      <c r="AE520" s="7">
        <v>45745</v>
      </c>
    </row>
    <row r="521" spans="1:51" s="15" customFormat="1" ht="23.1" hidden="1" customHeight="1" x14ac:dyDescent="0.25">
      <c r="A521" s="421" t="s">
        <v>636</v>
      </c>
      <c r="B521" s="167">
        <v>27868</v>
      </c>
      <c r="C521" s="5">
        <v>37400</v>
      </c>
      <c r="D521" s="167" t="s">
        <v>105</v>
      </c>
      <c r="E521" s="167" t="s">
        <v>1290</v>
      </c>
      <c r="F521" s="6" t="s">
        <v>1291</v>
      </c>
      <c r="G521" s="167" t="s">
        <v>36</v>
      </c>
      <c r="H521" s="169" t="s">
        <v>37</v>
      </c>
      <c r="I521" s="169" t="s">
        <v>182</v>
      </c>
      <c r="J521" s="4" t="s">
        <v>182</v>
      </c>
      <c r="K521" s="4"/>
      <c r="L521" s="7">
        <v>45644</v>
      </c>
      <c r="M521" s="64" t="s">
        <v>39</v>
      </c>
      <c r="N521" s="6" t="s">
        <v>40</v>
      </c>
      <c r="O521" s="177">
        <v>4088</v>
      </c>
      <c r="P521" s="6" t="s">
        <v>41</v>
      </c>
      <c r="Q521" s="19">
        <f t="shared" si="21"/>
        <v>0.10930481283422459</v>
      </c>
      <c r="R521" s="7">
        <v>45719</v>
      </c>
      <c r="S521" s="41" t="s">
        <v>65</v>
      </c>
      <c r="T521" s="7">
        <v>45737</v>
      </c>
      <c r="U521" s="67" t="s">
        <v>76</v>
      </c>
      <c r="V521" s="7" t="s">
        <v>1288</v>
      </c>
      <c r="W521" s="10" t="s">
        <v>45</v>
      </c>
      <c r="X521" s="236">
        <v>74540</v>
      </c>
      <c r="Y521" s="171" t="s">
        <v>68</v>
      </c>
      <c r="Z521" s="171"/>
      <c r="AA521" s="7">
        <v>45741</v>
      </c>
      <c r="AB521" s="7">
        <v>45742</v>
      </c>
      <c r="AC521" s="7">
        <v>45736</v>
      </c>
      <c r="AD521" s="38"/>
      <c r="AE521" s="7">
        <v>45717</v>
      </c>
    </row>
    <row r="522" spans="1:51" s="312" customFormat="1" ht="23.1" hidden="1" customHeight="1" x14ac:dyDescent="0.25">
      <c r="A522" s="568" t="s">
        <v>636</v>
      </c>
      <c r="B522" s="6">
        <v>28127</v>
      </c>
      <c r="C522" s="5">
        <v>35200</v>
      </c>
      <c r="D522" s="6" t="s">
        <v>105</v>
      </c>
      <c r="E522" s="6" t="s">
        <v>1292</v>
      </c>
      <c r="F522" s="6" t="s">
        <v>1293</v>
      </c>
      <c r="G522" s="6" t="s">
        <v>130</v>
      </c>
      <c r="H522" s="4" t="s">
        <v>37</v>
      </c>
      <c r="I522" s="4" t="s">
        <v>1294</v>
      </c>
      <c r="J522" s="4" t="s">
        <v>182</v>
      </c>
      <c r="K522" s="4"/>
      <c r="L522" s="7">
        <v>45644</v>
      </c>
      <c r="M522" s="7" t="s">
        <v>99</v>
      </c>
      <c r="N522" s="6" t="s">
        <v>40</v>
      </c>
      <c r="O522" s="13">
        <f>4630+400</f>
        <v>5030</v>
      </c>
      <c r="P522" s="6" t="s">
        <v>41</v>
      </c>
      <c r="Q522" s="19">
        <f t="shared" si="21"/>
        <v>0.14289772727272726</v>
      </c>
      <c r="R522" s="7">
        <v>45693</v>
      </c>
      <c r="S522" s="41" t="s">
        <v>65</v>
      </c>
      <c r="T522" s="7">
        <v>45741</v>
      </c>
      <c r="U522" s="6" t="s">
        <v>178</v>
      </c>
      <c r="V522" s="7" t="s">
        <v>1288</v>
      </c>
      <c r="W522" s="10" t="s">
        <v>45</v>
      </c>
      <c r="X522" s="236">
        <v>64400</v>
      </c>
      <c r="Y522" s="11" t="s">
        <v>68</v>
      </c>
      <c r="Z522" s="11"/>
      <c r="AA522" s="7">
        <v>45741</v>
      </c>
      <c r="AB522" s="7">
        <v>45742</v>
      </c>
      <c r="AC522" s="7">
        <v>45741</v>
      </c>
      <c r="AD522" s="584"/>
      <c r="AE522" s="7">
        <v>45717</v>
      </c>
    </row>
    <row r="523" spans="1:51" s="30" customFormat="1" ht="24.95" hidden="1" customHeight="1" x14ac:dyDescent="0.25">
      <c r="A523" s="109" t="s">
        <v>1295</v>
      </c>
      <c r="B523" s="22">
        <v>29370</v>
      </c>
      <c r="C523" s="23">
        <v>28000</v>
      </c>
      <c r="D523" s="22" t="s">
        <v>249</v>
      </c>
      <c r="E523" s="22" t="s">
        <v>78</v>
      </c>
      <c r="F523" s="22"/>
      <c r="G523" s="22"/>
      <c r="H523" s="22"/>
      <c r="I523" s="22"/>
      <c r="J523" s="22"/>
      <c r="K523" s="22"/>
      <c r="L523" s="25">
        <v>45736</v>
      </c>
      <c r="M523" s="25"/>
      <c r="N523" s="22" t="s">
        <v>45</v>
      </c>
      <c r="O523" s="26"/>
      <c r="P523" s="22"/>
      <c r="Q523" s="259">
        <v>0</v>
      </c>
      <c r="R523" s="217"/>
      <c r="S523" s="27"/>
      <c r="T523" s="24"/>
      <c r="U523" s="28" t="s">
        <v>66</v>
      </c>
      <c r="V523" s="25" t="s">
        <v>1288</v>
      </c>
      <c r="W523" s="24" t="s">
        <v>67</v>
      </c>
      <c r="X523" s="29">
        <v>39760</v>
      </c>
      <c r="Y523" s="24" t="s">
        <v>215</v>
      </c>
      <c r="Z523" s="24"/>
      <c r="AA523" s="78"/>
      <c r="AB523" s="78"/>
      <c r="AC523" s="78"/>
      <c r="AD523" s="316"/>
      <c r="AE523" s="71" t="s">
        <v>378</v>
      </c>
      <c r="AF523" s="15"/>
      <c r="AG523" s="15"/>
      <c r="AH523" s="15"/>
      <c r="AI523" s="15"/>
      <c r="AJ523" s="15"/>
      <c r="AK523" s="15"/>
      <c r="AL523" s="15"/>
      <c r="AM523" s="15"/>
      <c r="AN523" s="15"/>
      <c r="AO523" s="15"/>
      <c r="AP523" s="15"/>
      <c r="AQ523" s="15"/>
      <c r="AR523" s="15"/>
      <c r="AS523" s="15"/>
      <c r="AT523" s="15"/>
      <c r="AU523" s="15"/>
      <c r="AV523" s="15"/>
      <c r="AW523" s="15"/>
      <c r="AX523" s="15"/>
    </row>
    <row r="524" spans="1:51" s="30" customFormat="1" ht="24.95" hidden="1" customHeight="1" x14ac:dyDescent="0.25">
      <c r="A524" s="109" t="s">
        <v>320</v>
      </c>
      <c r="B524" s="22">
        <v>28714</v>
      </c>
      <c r="C524" s="23">
        <v>36900</v>
      </c>
      <c r="D524" s="22" t="s">
        <v>249</v>
      </c>
      <c r="E524" s="22" t="s">
        <v>1296</v>
      </c>
      <c r="F524" s="22"/>
      <c r="G524" s="22"/>
      <c r="H524" s="22" t="s">
        <v>164</v>
      </c>
      <c r="I524" s="22" t="s">
        <v>266</v>
      </c>
      <c r="J524" s="22" t="s">
        <v>62</v>
      </c>
      <c r="K524" s="22"/>
      <c r="L524" s="25">
        <v>45741</v>
      </c>
      <c r="M524" s="25"/>
      <c r="N524" s="22" t="s">
        <v>357</v>
      </c>
      <c r="O524" s="26">
        <v>3295</v>
      </c>
      <c r="P524" s="22" t="s">
        <v>80</v>
      </c>
      <c r="Q524" s="656">
        <f t="shared" ref="Q524:Q535" si="22">+O524/C524</f>
        <v>8.9295392953929534E-2</v>
      </c>
      <c r="R524" s="217"/>
      <c r="S524" s="27"/>
      <c r="T524" s="24"/>
      <c r="U524" s="28" t="s">
        <v>66</v>
      </c>
      <c r="V524" s="25" t="s">
        <v>1288</v>
      </c>
      <c r="W524" s="24" t="s">
        <v>67</v>
      </c>
      <c r="X524" s="29">
        <v>58608</v>
      </c>
      <c r="Y524" s="24" t="s">
        <v>215</v>
      </c>
      <c r="Z524" s="24"/>
      <c r="AA524" s="78"/>
      <c r="AB524" s="78"/>
      <c r="AC524" s="7">
        <v>45743</v>
      </c>
      <c r="AD524" s="316"/>
      <c r="AE524" s="7">
        <v>45747</v>
      </c>
      <c r="AF524" s="15"/>
      <c r="AG524" s="15"/>
      <c r="AH524" s="15"/>
      <c r="AI524" s="15"/>
      <c r="AJ524" s="15"/>
      <c r="AK524" s="15"/>
      <c r="AL524" s="15"/>
      <c r="AM524" s="15"/>
      <c r="AN524" s="15"/>
      <c r="AO524" s="15"/>
      <c r="AP524" s="15"/>
      <c r="AQ524" s="15"/>
      <c r="AR524" s="15"/>
      <c r="AS524" s="15"/>
      <c r="AT524" s="15"/>
      <c r="AU524" s="15"/>
      <c r="AV524" s="15"/>
      <c r="AW524" s="15"/>
      <c r="AX524" s="15"/>
    </row>
    <row r="525" spans="1:51" s="30" customFormat="1" ht="24.95" hidden="1" customHeight="1" x14ac:dyDescent="0.25">
      <c r="A525" s="109" t="s">
        <v>1297</v>
      </c>
      <c r="B525" s="22">
        <v>29139</v>
      </c>
      <c r="C525" s="23">
        <v>40000</v>
      </c>
      <c r="D525" s="22" t="s">
        <v>249</v>
      </c>
      <c r="E525" s="22" t="s">
        <v>1298</v>
      </c>
      <c r="F525" s="22"/>
      <c r="G525" s="22"/>
      <c r="H525" s="22" t="s">
        <v>37</v>
      </c>
      <c r="I525" s="22" t="s">
        <v>720</v>
      </c>
      <c r="J525" s="22" t="s">
        <v>62</v>
      </c>
      <c r="K525" s="22"/>
      <c r="L525" s="25">
        <v>45743</v>
      </c>
      <c r="M525" s="25"/>
      <c r="N525" s="22" t="s">
        <v>441</v>
      </c>
      <c r="O525" s="26">
        <v>8100</v>
      </c>
      <c r="P525" s="22" t="s">
        <v>80</v>
      </c>
      <c r="Q525" s="259">
        <f t="shared" si="22"/>
        <v>0.20250000000000001</v>
      </c>
      <c r="R525" s="217"/>
      <c r="S525" s="27"/>
      <c r="T525" s="24"/>
      <c r="U525" s="28" t="s">
        <v>66</v>
      </c>
      <c r="V525" s="25" t="s">
        <v>1299</v>
      </c>
      <c r="W525" s="24" t="s">
        <v>45</v>
      </c>
      <c r="X525" s="29">
        <v>122750</v>
      </c>
      <c r="Y525" s="24" t="s">
        <v>215</v>
      </c>
      <c r="Z525" s="24"/>
      <c r="AA525" s="78"/>
      <c r="AB525" s="351"/>
      <c r="AC525" s="7">
        <v>45744</v>
      </c>
      <c r="AD525" s="316"/>
      <c r="AE525" s="7">
        <v>45747</v>
      </c>
      <c r="AF525" s="15"/>
      <c r="AG525" s="15"/>
      <c r="AH525" s="15"/>
      <c r="AI525" s="15"/>
      <c r="AJ525" s="15"/>
      <c r="AK525" s="15"/>
      <c r="AL525" s="15"/>
      <c r="AM525" s="15"/>
      <c r="AN525" s="15"/>
      <c r="AO525" s="15"/>
      <c r="AP525" s="15"/>
      <c r="AQ525" s="15"/>
      <c r="AR525" s="15"/>
      <c r="AS525" s="15"/>
      <c r="AT525" s="15"/>
      <c r="AU525" s="15"/>
      <c r="AV525" s="15"/>
      <c r="AW525" s="15"/>
      <c r="AX525" s="15"/>
      <c r="AY525" s="15"/>
    </row>
    <row r="526" spans="1:51" s="15" customFormat="1" ht="23.1" hidden="1" customHeight="1" x14ac:dyDescent="0.25">
      <c r="A526" s="209" t="s">
        <v>47</v>
      </c>
      <c r="B526" s="6">
        <v>27251</v>
      </c>
      <c r="C526" s="5">
        <v>55000</v>
      </c>
      <c r="D526" s="6" t="s">
        <v>48</v>
      </c>
      <c r="E526" s="6" t="s">
        <v>1300</v>
      </c>
      <c r="F526" s="159" t="s">
        <v>1301</v>
      </c>
      <c r="G526" s="167" t="s">
        <v>36</v>
      </c>
      <c r="H526" s="6" t="s">
        <v>51</v>
      </c>
      <c r="I526" s="6" t="s">
        <v>52</v>
      </c>
      <c r="J526" s="6" t="s">
        <v>53</v>
      </c>
      <c r="K526" s="6"/>
      <c r="L526" s="7">
        <v>45680</v>
      </c>
      <c r="M526" s="7"/>
      <c r="N526" s="6" t="s">
        <v>40</v>
      </c>
      <c r="O526" s="422">
        <v>545</v>
      </c>
      <c r="P526" s="6" t="s">
        <v>80</v>
      </c>
      <c r="Q526" s="19">
        <f t="shared" si="22"/>
        <v>9.9090909090909091E-3</v>
      </c>
      <c r="R526" s="219"/>
      <c r="S526" s="36"/>
      <c r="T526" s="7">
        <v>45744</v>
      </c>
      <c r="U526" s="17" t="s">
        <v>43</v>
      </c>
      <c r="V526" s="7" t="s">
        <v>1299</v>
      </c>
      <c r="W526" s="10" t="s">
        <v>45</v>
      </c>
      <c r="X526" s="236">
        <v>26718</v>
      </c>
      <c r="Y526" s="11" t="s">
        <v>46</v>
      </c>
      <c r="Z526" s="171"/>
      <c r="AA526" s="351"/>
      <c r="AB526" s="71">
        <v>45741</v>
      </c>
      <c r="AC526" s="7">
        <v>45743</v>
      </c>
      <c r="AD526" s="38"/>
      <c r="AE526" s="71">
        <v>45751</v>
      </c>
    </row>
    <row r="527" spans="1:51" s="30" customFormat="1" ht="24.95" hidden="1" customHeight="1" x14ac:dyDescent="0.25">
      <c r="A527" s="109" t="s">
        <v>1031</v>
      </c>
      <c r="B527" s="22">
        <v>29645</v>
      </c>
      <c r="C527" s="23">
        <v>39850</v>
      </c>
      <c r="D527" s="22" t="s">
        <v>249</v>
      </c>
      <c r="E527" s="22" t="s">
        <v>1302</v>
      </c>
      <c r="F527" s="22"/>
      <c r="G527" s="22"/>
      <c r="H527" s="22" t="s">
        <v>37</v>
      </c>
      <c r="I527" s="22" t="s">
        <v>1033</v>
      </c>
      <c r="J527" s="22" t="s">
        <v>62</v>
      </c>
      <c r="K527" s="22"/>
      <c r="L527" s="25">
        <v>45744</v>
      </c>
      <c r="M527" s="25"/>
      <c r="N527" s="22" t="s">
        <v>1303</v>
      </c>
      <c r="O527" s="26">
        <v>7500</v>
      </c>
      <c r="P527" s="22" t="s">
        <v>80</v>
      </c>
      <c r="Q527" s="259">
        <f t="shared" si="22"/>
        <v>0.18820577164366373</v>
      </c>
      <c r="R527" s="217"/>
      <c r="S527" s="27"/>
      <c r="T527" s="24"/>
      <c r="U527" s="28" t="s">
        <v>66</v>
      </c>
      <c r="V527" s="25" t="s">
        <v>1299</v>
      </c>
      <c r="W527" s="24" t="s">
        <v>45</v>
      </c>
      <c r="X527" s="29">
        <v>127139</v>
      </c>
      <c r="Y527" s="24" t="s">
        <v>215</v>
      </c>
      <c r="Z527" s="24"/>
      <c r="AA527" s="78"/>
      <c r="AB527" s="78"/>
      <c r="AC527" s="7">
        <v>45744</v>
      </c>
      <c r="AD527" s="316"/>
      <c r="AE527" s="7">
        <v>45747</v>
      </c>
      <c r="AF527" s="15"/>
      <c r="AG527" s="15"/>
      <c r="AH527" s="15"/>
      <c r="AI527" s="15"/>
      <c r="AJ527" s="15"/>
      <c r="AK527" s="15"/>
      <c r="AL527" s="15"/>
      <c r="AM527" s="15"/>
      <c r="AN527" s="15"/>
      <c r="AO527" s="15"/>
      <c r="AP527" s="15"/>
      <c r="AQ527" s="15"/>
      <c r="AR527" s="15"/>
      <c r="AS527" s="15"/>
      <c r="AT527" s="15"/>
      <c r="AU527" s="15"/>
      <c r="AV527" s="15"/>
      <c r="AW527" s="15"/>
      <c r="AX527" s="15"/>
      <c r="AY527" s="15"/>
    </row>
    <row r="528" spans="1:51" s="30" customFormat="1" ht="23.1" hidden="1" customHeight="1" x14ac:dyDescent="0.25">
      <c r="A528" s="210" t="s">
        <v>136</v>
      </c>
      <c r="B528" s="31">
        <v>27541</v>
      </c>
      <c r="C528" s="32">
        <v>25000</v>
      </c>
      <c r="D528" s="31" t="s">
        <v>105</v>
      </c>
      <c r="E528" s="31" t="s">
        <v>1304</v>
      </c>
      <c r="F528" s="31" t="s">
        <v>1305</v>
      </c>
      <c r="G528" s="31" t="s">
        <v>687</v>
      </c>
      <c r="H528" s="31" t="s">
        <v>37</v>
      </c>
      <c r="I528" s="31" t="s">
        <v>97</v>
      </c>
      <c r="J528" s="31" t="s">
        <v>98</v>
      </c>
      <c r="K528" s="31"/>
      <c r="L528" s="34">
        <v>45702</v>
      </c>
      <c r="M528" s="563" t="s">
        <v>487</v>
      </c>
      <c r="N528" s="564" t="s">
        <v>40</v>
      </c>
      <c r="O528" s="565">
        <f>3160+400</f>
        <v>3560</v>
      </c>
      <c r="P528" s="31" t="s">
        <v>41</v>
      </c>
      <c r="Q528" s="258">
        <f t="shared" si="22"/>
        <v>0.1424</v>
      </c>
      <c r="R528" s="102"/>
      <c r="S528" s="258"/>
      <c r="T528" s="34">
        <v>45747</v>
      </c>
      <c r="U528" s="100" t="s">
        <v>43</v>
      </c>
      <c r="V528" s="34" t="s">
        <v>1299</v>
      </c>
      <c r="W528" s="33" t="s">
        <v>1252</v>
      </c>
      <c r="X528" s="62">
        <v>91800</v>
      </c>
      <c r="Y528" s="33" t="s">
        <v>68</v>
      </c>
      <c r="Z528" s="33"/>
      <c r="AA528" s="7"/>
      <c r="AB528" s="7">
        <v>45748</v>
      </c>
      <c r="AC528" s="7">
        <v>45747</v>
      </c>
      <c r="AD528" s="38"/>
      <c r="AE528" s="71">
        <v>45748</v>
      </c>
      <c r="AF528" s="15"/>
      <c r="AG528" s="15"/>
      <c r="AH528" s="15"/>
      <c r="AI528" s="15"/>
      <c r="AJ528" s="15"/>
      <c r="AK528" s="15"/>
      <c r="AL528" s="15"/>
      <c r="AM528" s="15"/>
      <c r="AN528" s="15"/>
      <c r="AO528" s="15"/>
      <c r="AP528" s="15"/>
      <c r="AQ528" s="15"/>
      <c r="AR528" s="15"/>
      <c r="AS528" s="15"/>
      <c r="AT528" s="15"/>
      <c r="AU528" s="15"/>
      <c r="AV528" s="15"/>
      <c r="AW528" s="15"/>
      <c r="AX528" s="15"/>
      <c r="AY528" s="15"/>
    </row>
    <row r="529" spans="1:51" s="15" customFormat="1" ht="23.1" hidden="1" customHeight="1" x14ac:dyDescent="0.25">
      <c r="A529" s="568" t="s">
        <v>1306</v>
      </c>
      <c r="B529" s="6">
        <v>28884</v>
      </c>
      <c r="C529" s="5">
        <v>42240</v>
      </c>
      <c r="D529" s="6" t="s">
        <v>33</v>
      </c>
      <c r="E529" s="6" t="s">
        <v>288</v>
      </c>
      <c r="F529" s="6" t="s">
        <v>1307</v>
      </c>
      <c r="G529" s="6" t="s">
        <v>687</v>
      </c>
      <c r="H529" s="4" t="s">
        <v>37</v>
      </c>
      <c r="I529" s="4" t="s">
        <v>97</v>
      </c>
      <c r="J529" s="4" t="s">
        <v>98</v>
      </c>
      <c r="K529" s="4"/>
      <c r="L529" s="7">
        <v>45702</v>
      </c>
      <c r="M529" s="7" t="s">
        <v>487</v>
      </c>
      <c r="N529" s="73" t="s">
        <v>40</v>
      </c>
      <c r="O529" s="13">
        <f>4035+400</f>
        <v>4435</v>
      </c>
      <c r="P529" s="6" t="s">
        <v>41</v>
      </c>
      <c r="Q529" s="19">
        <f t="shared" si="22"/>
        <v>0.10499526515151515</v>
      </c>
      <c r="R529" s="219"/>
      <c r="S529" s="41"/>
      <c r="T529" s="65">
        <v>45747</v>
      </c>
      <c r="U529" s="67" t="s">
        <v>43</v>
      </c>
      <c r="V529" s="7" t="s">
        <v>1299</v>
      </c>
      <c r="W529" s="10" t="s">
        <v>67</v>
      </c>
      <c r="X529" s="236">
        <v>53085</v>
      </c>
      <c r="Y529" s="171" t="s">
        <v>68</v>
      </c>
      <c r="Z529" s="171"/>
      <c r="AA529" s="11"/>
      <c r="AB529" s="7">
        <v>45748</v>
      </c>
      <c r="AC529" s="7">
        <v>45747</v>
      </c>
      <c r="AD529" s="38"/>
      <c r="AE529" s="263">
        <v>45748</v>
      </c>
    </row>
    <row r="530" spans="1:51" s="30" customFormat="1" ht="24.95" hidden="1" customHeight="1" x14ac:dyDescent="0.25">
      <c r="A530" s="109" t="s">
        <v>532</v>
      </c>
      <c r="B530" s="22">
        <v>29632</v>
      </c>
      <c r="C530" s="23">
        <v>40000</v>
      </c>
      <c r="D530" s="22" t="s">
        <v>249</v>
      </c>
      <c r="E530" s="22" t="s">
        <v>1308</v>
      </c>
      <c r="F530" s="22"/>
      <c r="G530" s="22"/>
      <c r="H530" s="22"/>
      <c r="I530" s="22"/>
      <c r="J530" s="22"/>
      <c r="K530" s="22"/>
      <c r="L530" s="25">
        <v>45744</v>
      </c>
      <c r="M530" s="25"/>
      <c r="N530" s="22" t="s">
        <v>1309</v>
      </c>
      <c r="O530" s="26">
        <v>7500</v>
      </c>
      <c r="P530" s="22" t="s">
        <v>80</v>
      </c>
      <c r="Q530" s="259">
        <f t="shared" si="22"/>
        <v>0.1875</v>
      </c>
      <c r="R530" s="217"/>
      <c r="S530" s="27"/>
      <c r="T530" s="24"/>
      <c r="U530" s="28" t="s">
        <v>66</v>
      </c>
      <c r="V530" s="25" t="s">
        <v>1299</v>
      </c>
      <c r="W530" s="24" t="s">
        <v>45</v>
      </c>
      <c r="X530" s="29">
        <v>120000</v>
      </c>
      <c r="Y530" s="24" t="s">
        <v>215</v>
      </c>
      <c r="Z530" s="24"/>
      <c r="AA530" s="78"/>
      <c r="AB530" s="78"/>
      <c r="AC530" s="7">
        <v>45749</v>
      </c>
      <c r="AD530" s="316"/>
      <c r="AE530" s="7">
        <v>45764</v>
      </c>
      <c r="AF530" s="15"/>
      <c r="AG530" s="15"/>
      <c r="AH530" s="15"/>
      <c r="AI530" s="15"/>
      <c r="AJ530" s="15"/>
      <c r="AK530" s="15"/>
      <c r="AL530" s="15"/>
      <c r="AM530" s="15"/>
      <c r="AN530" s="15"/>
      <c r="AO530" s="15"/>
      <c r="AP530" s="15"/>
      <c r="AQ530" s="15"/>
      <c r="AR530" s="15"/>
      <c r="AS530" s="15"/>
      <c r="AT530" s="15"/>
      <c r="AU530" s="15"/>
      <c r="AV530" s="15"/>
      <c r="AW530" s="15"/>
      <c r="AX530" s="15"/>
      <c r="AY530" s="15"/>
    </row>
    <row r="531" spans="1:51" s="15" customFormat="1" ht="23.1" hidden="1" customHeight="1" x14ac:dyDescent="0.25">
      <c r="A531" s="209" t="s">
        <v>47</v>
      </c>
      <c r="B531" s="6">
        <v>27252</v>
      </c>
      <c r="C531" s="5">
        <v>55000</v>
      </c>
      <c r="D531" s="6" t="s">
        <v>48</v>
      </c>
      <c r="E531" s="6" t="s">
        <v>49</v>
      </c>
      <c r="F531" s="159" t="s">
        <v>1310</v>
      </c>
      <c r="G531" s="6" t="s">
        <v>36</v>
      </c>
      <c r="H531" s="6" t="s">
        <v>51</v>
      </c>
      <c r="I531" s="6" t="s">
        <v>52</v>
      </c>
      <c r="J531" s="6" t="s">
        <v>53</v>
      </c>
      <c r="K531" s="6"/>
      <c r="L531" s="7">
        <v>45680</v>
      </c>
      <c r="M531" s="7"/>
      <c r="N531" s="6" t="s">
        <v>40</v>
      </c>
      <c r="O531" s="422">
        <v>545</v>
      </c>
      <c r="P531" s="6" t="s">
        <v>80</v>
      </c>
      <c r="Q531" s="19">
        <f t="shared" si="22"/>
        <v>9.9090909090909091E-3</v>
      </c>
      <c r="R531" s="219"/>
      <c r="S531" s="36"/>
      <c r="T531" s="7">
        <v>45748</v>
      </c>
      <c r="U531" s="17" t="s">
        <v>43</v>
      </c>
      <c r="V531" s="7" t="s">
        <v>1299</v>
      </c>
      <c r="W531" s="10" t="s">
        <v>67</v>
      </c>
      <c r="X531" s="236">
        <v>26718</v>
      </c>
      <c r="Y531" s="11" t="s">
        <v>46</v>
      </c>
      <c r="Z531" s="171"/>
      <c r="AA531" s="351"/>
      <c r="AB531" s="7">
        <v>45748</v>
      </c>
      <c r="AC531" s="7">
        <v>45749</v>
      </c>
      <c r="AD531" s="38"/>
      <c r="AE531" s="71">
        <v>45751</v>
      </c>
    </row>
    <row r="532" spans="1:51" s="15" customFormat="1" ht="23.1" hidden="1" customHeight="1" x14ac:dyDescent="0.25">
      <c r="A532" s="16" t="s">
        <v>203</v>
      </c>
      <c r="B532" s="6">
        <v>28856</v>
      </c>
      <c r="C532" s="5">
        <v>55000</v>
      </c>
      <c r="D532" s="6" t="s">
        <v>48</v>
      </c>
      <c r="E532" s="6" t="s">
        <v>645</v>
      </c>
      <c r="F532" s="159" t="s">
        <v>1311</v>
      </c>
      <c r="G532" s="167" t="s">
        <v>36</v>
      </c>
      <c r="H532" s="6" t="s">
        <v>51</v>
      </c>
      <c r="I532" s="6" t="s">
        <v>647</v>
      </c>
      <c r="J532" s="6" t="s">
        <v>648</v>
      </c>
      <c r="K532" s="6"/>
      <c r="L532" s="7">
        <v>45706</v>
      </c>
      <c r="M532" s="7"/>
      <c r="N532" s="73" t="s">
        <v>40</v>
      </c>
      <c r="O532" s="422">
        <v>575</v>
      </c>
      <c r="P532" s="6" t="s">
        <v>80</v>
      </c>
      <c r="Q532" s="19">
        <f t="shared" si="22"/>
        <v>1.0454545454545454E-2</v>
      </c>
      <c r="R532" s="219"/>
      <c r="S532" s="36"/>
      <c r="T532" s="7">
        <v>45749</v>
      </c>
      <c r="U532" s="17" t="s">
        <v>43</v>
      </c>
      <c r="V532" s="7" t="s">
        <v>1299</v>
      </c>
      <c r="W532" s="11" t="s">
        <v>67</v>
      </c>
      <c r="X532" s="236">
        <v>19334</v>
      </c>
      <c r="Y532" s="11" t="s">
        <v>46</v>
      </c>
      <c r="Z532" s="171"/>
      <c r="AA532" s="351"/>
      <c r="AB532" s="7">
        <v>45748</v>
      </c>
      <c r="AC532" s="7">
        <v>45749</v>
      </c>
      <c r="AD532" s="38"/>
      <c r="AE532" s="71">
        <v>45751</v>
      </c>
    </row>
    <row r="533" spans="1:51" s="2" customFormat="1" ht="24.95" hidden="1" customHeight="1" x14ac:dyDescent="0.25">
      <c r="A533" s="427" t="s">
        <v>1037</v>
      </c>
      <c r="B533" s="598">
        <v>28980</v>
      </c>
      <c r="C533" s="249">
        <v>55000</v>
      </c>
      <c r="D533" s="167" t="s">
        <v>33</v>
      </c>
      <c r="E533" s="167" t="s">
        <v>1038</v>
      </c>
      <c r="F533" s="169" t="s">
        <v>1312</v>
      </c>
      <c r="G533" s="598" t="s">
        <v>130</v>
      </c>
      <c r="H533" s="167" t="s">
        <v>51</v>
      </c>
      <c r="I533" s="598" t="s">
        <v>52</v>
      </c>
      <c r="J533" s="598" t="s">
        <v>285</v>
      </c>
      <c r="K533" s="598"/>
      <c r="L533" s="7">
        <v>45693</v>
      </c>
      <c r="M533" s="599"/>
      <c r="N533" s="73" t="s">
        <v>40</v>
      </c>
      <c r="O533" s="177">
        <v>575</v>
      </c>
      <c r="P533" s="6" t="s">
        <v>80</v>
      </c>
      <c r="Q533" s="19">
        <f t="shared" si="22"/>
        <v>1.0454545454545454E-2</v>
      </c>
      <c r="R533" s="3"/>
      <c r="S533" s="156"/>
      <c r="T533" s="7">
        <v>45748</v>
      </c>
      <c r="U533" s="46" t="s">
        <v>43</v>
      </c>
      <c r="V533" s="7" t="s">
        <v>1313</v>
      </c>
      <c r="W533" s="11" t="s">
        <v>67</v>
      </c>
      <c r="X533" s="236">
        <f>202000-78000-7000</f>
        <v>117000</v>
      </c>
      <c r="Y533" s="11" t="s">
        <v>46</v>
      </c>
      <c r="Z533" s="11"/>
      <c r="AA533" s="78"/>
      <c r="AB533" s="7">
        <v>45754</v>
      </c>
      <c r="AC533" s="7">
        <v>45749</v>
      </c>
      <c r="AD533" s="376"/>
      <c r="AE533" s="71">
        <v>45764</v>
      </c>
      <c r="AF533" s="15"/>
      <c r="AG533" s="15"/>
      <c r="AH533" s="15"/>
      <c r="AI533" s="15"/>
      <c r="AJ533" s="15"/>
      <c r="AK533" s="15"/>
      <c r="AL533" s="15"/>
      <c r="AM533" s="15"/>
      <c r="AN533" s="15"/>
      <c r="AO533" s="15"/>
      <c r="AP533" s="15"/>
      <c r="AQ533" s="15"/>
      <c r="AR533" s="15"/>
      <c r="AS533" s="15"/>
      <c r="AT533" s="15"/>
      <c r="AU533" s="15"/>
    </row>
    <row r="534" spans="1:51" s="15" customFormat="1" ht="27.75" hidden="1" customHeight="1" x14ac:dyDescent="0.25">
      <c r="A534" s="16" t="s">
        <v>1314</v>
      </c>
      <c r="B534" s="6">
        <v>28659</v>
      </c>
      <c r="C534" s="5">
        <v>1848</v>
      </c>
      <c r="D534" s="6">
        <v>5</v>
      </c>
      <c r="E534" s="6" t="s">
        <v>125</v>
      </c>
      <c r="F534" s="4" t="s">
        <v>1315</v>
      </c>
      <c r="G534" s="6" t="s">
        <v>602</v>
      </c>
      <c r="H534" s="6" t="s">
        <v>51</v>
      </c>
      <c r="I534" s="6" t="s">
        <v>52</v>
      </c>
      <c r="J534" s="6" t="s">
        <v>75</v>
      </c>
      <c r="K534" s="6"/>
      <c r="L534" s="7">
        <v>45684</v>
      </c>
      <c r="M534" s="7"/>
      <c r="N534" s="73" t="s">
        <v>45</v>
      </c>
      <c r="O534" s="422">
        <v>0</v>
      </c>
      <c r="P534" s="6" t="s">
        <v>80</v>
      </c>
      <c r="Q534" s="19">
        <f t="shared" si="22"/>
        <v>0</v>
      </c>
      <c r="R534" s="65">
        <v>45712</v>
      </c>
      <c r="S534" s="41" t="s">
        <v>65</v>
      </c>
      <c r="T534" s="7">
        <v>45750</v>
      </c>
      <c r="U534" s="600" t="s">
        <v>1316</v>
      </c>
      <c r="V534" s="7" t="s">
        <v>1313</v>
      </c>
      <c r="W534" s="10" t="s">
        <v>45</v>
      </c>
      <c r="X534" s="236">
        <f>12250-3675</f>
        <v>8575</v>
      </c>
      <c r="Y534" s="11" t="s">
        <v>341</v>
      </c>
      <c r="Z534" s="171"/>
      <c r="AA534" s="351"/>
      <c r="AB534" s="71">
        <v>45735</v>
      </c>
      <c r="AC534" s="7">
        <v>45750</v>
      </c>
      <c r="AD534" s="38"/>
      <c r="AE534" s="7" t="s">
        <v>378</v>
      </c>
    </row>
    <row r="535" spans="1:51" s="2" customFormat="1" ht="24.95" hidden="1" customHeight="1" x14ac:dyDescent="0.25">
      <c r="A535" s="16" t="s">
        <v>364</v>
      </c>
      <c r="B535" s="6">
        <v>28683</v>
      </c>
      <c r="C535" s="390">
        <v>55000</v>
      </c>
      <c r="D535" s="6" t="s">
        <v>33</v>
      </c>
      <c r="E535" s="6" t="s">
        <v>1317</v>
      </c>
      <c r="F535" s="4" t="s">
        <v>1318</v>
      </c>
      <c r="G535" s="159" t="s">
        <v>345</v>
      </c>
      <c r="H535" s="6" t="s">
        <v>51</v>
      </c>
      <c r="I535" s="159" t="s">
        <v>52</v>
      </c>
      <c r="J535" s="159" t="s">
        <v>52</v>
      </c>
      <c r="K535" s="159"/>
      <c r="L535" s="7">
        <v>45678</v>
      </c>
      <c r="M535" s="3"/>
      <c r="N535" s="6" t="s">
        <v>40</v>
      </c>
      <c r="O535" s="177">
        <v>575</v>
      </c>
      <c r="P535" s="159" t="s">
        <v>80</v>
      </c>
      <c r="Q535" s="19">
        <f t="shared" si="22"/>
        <v>1.0454545454545454E-2</v>
      </c>
      <c r="R535" s="7">
        <v>45725</v>
      </c>
      <c r="S535" s="41" t="s">
        <v>65</v>
      </c>
      <c r="T535" s="7">
        <v>45745</v>
      </c>
      <c r="U535" s="46" t="s">
        <v>178</v>
      </c>
      <c r="V535" s="7" t="s">
        <v>1313</v>
      </c>
      <c r="W535" s="10" t="s">
        <v>67</v>
      </c>
      <c r="X535" s="236">
        <v>115300</v>
      </c>
      <c r="Y535" s="11" t="s">
        <v>46</v>
      </c>
      <c r="Z535" s="11"/>
      <c r="AA535" s="78"/>
      <c r="AB535" s="7">
        <v>45755</v>
      </c>
      <c r="AC535" s="7">
        <v>45748</v>
      </c>
      <c r="AD535" s="45"/>
      <c r="AE535" s="71">
        <v>45764</v>
      </c>
      <c r="AF535" s="15"/>
      <c r="AG535" s="15"/>
      <c r="AH535" s="15"/>
      <c r="AI535" s="15"/>
      <c r="AJ535" s="15"/>
      <c r="AK535" s="15"/>
      <c r="AL535" s="15"/>
      <c r="AM535" s="15"/>
      <c r="AN535" s="15"/>
      <c r="AO535" s="15"/>
      <c r="AP535" s="15"/>
      <c r="AQ535" s="15"/>
      <c r="AR535" s="15"/>
      <c r="AS535" s="15"/>
      <c r="AT535" s="15"/>
      <c r="AU535" s="15"/>
    </row>
    <row r="536" spans="1:51" s="30" customFormat="1" ht="24.95" hidden="1" customHeight="1" x14ac:dyDescent="0.25">
      <c r="A536" s="21" t="s">
        <v>555</v>
      </c>
      <c r="B536" s="22">
        <v>29566</v>
      </c>
      <c r="C536" s="23">
        <v>40000</v>
      </c>
      <c r="D536" s="22">
        <v>19</v>
      </c>
      <c r="E536" s="22" t="s">
        <v>1319</v>
      </c>
      <c r="F536" s="22"/>
      <c r="G536" s="22"/>
      <c r="H536" s="22"/>
      <c r="I536" s="22"/>
      <c r="J536" s="22"/>
      <c r="K536" s="22"/>
      <c r="L536" s="22"/>
      <c r="M536" s="25"/>
      <c r="N536" s="22"/>
      <c r="O536" s="26"/>
      <c r="P536" s="22"/>
      <c r="Q536" s="259"/>
      <c r="R536" s="217"/>
      <c r="S536" s="27"/>
      <c r="T536" s="24"/>
      <c r="U536" s="28" t="s">
        <v>66</v>
      </c>
      <c r="V536" s="25" t="s">
        <v>1313</v>
      </c>
      <c r="W536" s="24" t="s">
        <v>334</v>
      </c>
      <c r="X536" s="29">
        <v>84186</v>
      </c>
      <c r="Y536" s="24" t="s">
        <v>215</v>
      </c>
      <c r="Z536" s="24"/>
      <c r="AA536" s="78"/>
      <c r="AB536" s="78"/>
      <c r="AC536" s="78">
        <v>45695</v>
      </c>
      <c r="AD536" s="316"/>
      <c r="AE536" s="7" t="s">
        <v>378</v>
      </c>
      <c r="AF536" s="15"/>
      <c r="AG536" s="15"/>
      <c r="AH536" s="15"/>
      <c r="AI536" s="15"/>
      <c r="AJ536" s="15"/>
      <c r="AK536" s="15"/>
      <c r="AL536" s="15"/>
      <c r="AM536" s="15"/>
      <c r="AN536" s="15"/>
      <c r="AO536" s="15"/>
      <c r="AP536" s="15"/>
      <c r="AQ536" s="15"/>
      <c r="AR536" s="15"/>
      <c r="AS536" s="15"/>
      <c r="AT536" s="15"/>
      <c r="AU536" s="15"/>
      <c r="AV536" s="15"/>
      <c r="AW536" s="15"/>
      <c r="AX536" s="15"/>
      <c r="AY536" s="15"/>
    </row>
    <row r="537" spans="1:51" s="3" customFormat="1" ht="24.95" hidden="1" customHeight="1" x14ac:dyDescent="0.25">
      <c r="A537" s="209" t="s">
        <v>289</v>
      </c>
      <c r="B537" s="6">
        <v>25289</v>
      </c>
      <c r="C537" s="44">
        <v>44000</v>
      </c>
      <c r="D537" s="4" t="s">
        <v>105</v>
      </c>
      <c r="E537" s="6" t="s">
        <v>290</v>
      </c>
      <c r="F537" s="167" t="s">
        <v>1320</v>
      </c>
      <c r="G537" s="6" t="s">
        <v>108</v>
      </c>
      <c r="H537" s="6" t="s">
        <v>37</v>
      </c>
      <c r="I537" s="6" t="s">
        <v>350</v>
      </c>
      <c r="J537" s="6" t="s">
        <v>292</v>
      </c>
      <c r="K537" s="6"/>
      <c r="L537" s="7">
        <v>45688</v>
      </c>
      <c r="M537" s="7"/>
      <c r="N537" s="6" t="s">
        <v>40</v>
      </c>
      <c r="O537" s="422">
        <f>2391.14+400</f>
        <v>2791.14</v>
      </c>
      <c r="P537" s="6" t="s">
        <v>41</v>
      </c>
      <c r="Q537" s="19">
        <f t="shared" ref="Q537:Q542" si="23">+O537/C537</f>
        <v>6.3434999999999991E-2</v>
      </c>
      <c r="R537" s="7">
        <v>45736</v>
      </c>
      <c r="S537" s="156" t="s">
        <v>121</v>
      </c>
      <c r="T537" s="71">
        <v>45755</v>
      </c>
      <c r="U537" s="17" t="s">
        <v>76</v>
      </c>
      <c r="V537" s="7" t="s">
        <v>1313</v>
      </c>
      <c r="W537" s="10" t="s">
        <v>67</v>
      </c>
      <c r="X537" s="236">
        <v>48800</v>
      </c>
      <c r="Y537" s="11" t="s">
        <v>46</v>
      </c>
      <c r="Z537" s="11"/>
      <c r="AA537" s="78"/>
      <c r="AB537" s="7">
        <v>45757</v>
      </c>
      <c r="AC537" s="7">
        <v>45755</v>
      </c>
      <c r="AE537" s="7">
        <v>45734</v>
      </c>
      <c r="AF537" s="208"/>
      <c r="AG537" s="208"/>
      <c r="AH537" s="208"/>
      <c r="AI537" s="208"/>
      <c r="AJ537" s="208"/>
      <c r="AK537" s="208"/>
      <c r="AL537" s="208"/>
      <c r="AM537" s="208"/>
      <c r="AN537" s="208"/>
      <c r="AO537" s="208"/>
      <c r="AP537" s="208"/>
      <c r="AQ537" s="208"/>
      <c r="AR537" s="208"/>
      <c r="AS537" s="208"/>
      <c r="AT537" s="208"/>
      <c r="AU537" s="208"/>
    </row>
    <row r="538" spans="1:51" s="2" customFormat="1" ht="24.95" hidden="1" customHeight="1" x14ac:dyDescent="0.25">
      <c r="A538" s="16" t="s">
        <v>241</v>
      </c>
      <c r="B538" s="159">
        <v>27886</v>
      </c>
      <c r="C538" s="390">
        <v>55000</v>
      </c>
      <c r="D538" s="6" t="s">
        <v>48</v>
      </c>
      <c r="E538" s="6" t="s">
        <v>1321</v>
      </c>
      <c r="F538" s="4" t="s">
        <v>1322</v>
      </c>
      <c r="G538" s="159" t="s">
        <v>108</v>
      </c>
      <c r="H538" s="6" t="s">
        <v>109</v>
      </c>
      <c r="I538" s="159" t="s">
        <v>52</v>
      </c>
      <c r="J538" s="159" t="s">
        <v>75</v>
      </c>
      <c r="K538" s="159"/>
      <c r="L538" s="7">
        <v>45655</v>
      </c>
      <c r="M538" s="3"/>
      <c r="N538" s="6" t="s">
        <v>40</v>
      </c>
      <c r="O538" s="177">
        <v>575</v>
      </c>
      <c r="P538" s="159" t="s">
        <v>80</v>
      </c>
      <c r="Q538" s="19">
        <f t="shared" si="23"/>
        <v>1.0454545454545454E-2</v>
      </c>
      <c r="R538" s="7">
        <v>45726</v>
      </c>
      <c r="S538" s="41" t="s">
        <v>65</v>
      </c>
      <c r="T538" s="71">
        <v>45754</v>
      </c>
      <c r="U538" s="46" t="s">
        <v>178</v>
      </c>
      <c r="V538" s="7" t="s">
        <v>1323</v>
      </c>
      <c r="W538" s="10" t="s">
        <v>67</v>
      </c>
      <c r="X538" s="236">
        <v>42750</v>
      </c>
      <c r="Y538" s="11" t="s">
        <v>46</v>
      </c>
      <c r="Z538" s="11"/>
      <c r="AA538" s="78"/>
      <c r="AB538" s="7">
        <v>45758</v>
      </c>
      <c r="AC538" s="7">
        <v>45758</v>
      </c>
      <c r="AD538" s="376"/>
      <c r="AE538" s="71">
        <v>45764</v>
      </c>
      <c r="AF538" s="15"/>
      <c r="AG538" s="15"/>
      <c r="AH538" s="15"/>
      <c r="AI538" s="15"/>
      <c r="AJ538" s="15"/>
      <c r="AK538" s="15"/>
      <c r="AL538" s="15"/>
      <c r="AM538" s="15"/>
      <c r="AN538" s="15"/>
      <c r="AO538" s="15"/>
      <c r="AP538" s="15"/>
      <c r="AQ538" s="15"/>
      <c r="AR538" s="15"/>
      <c r="AS538" s="15"/>
      <c r="AT538" s="15"/>
      <c r="AU538" s="15"/>
    </row>
    <row r="539" spans="1:51" s="30" customFormat="1" ht="24.95" hidden="1" customHeight="1" x14ac:dyDescent="0.25">
      <c r="A539" s="210" t="s">
        <v>453</v>
      </c>
      <c r="B539" s="31">
        <v>27802</v>
      </c>
      <c r="C539" s="32">
        <v>58000</v>
      </c>
      <c r="D539" s="31" t="s">
        <v>48</v>
      </c>
      <c r="E539" s="31" t="s">
        <v>1172</v>
      </c>
      <c r="F539" s="31" t="s">
        <v>1324</v>
      </c>
      <c r="G539" s="31" t="s">
        <v>602</v>
      </c>
      <c r="H539" s="31" t="s">
        <v>109</v>
      </c>
      <c r="I539" s="31" t="s">
        <v>52</v>
      </c>
      <c r="J539" s="31" t="s">
        <v>75</v>
      </c>
      <c r="K539" s="31"/>
      <c r="L539" s="34">
        <v>45711</v>
      </c>
      <c r="M539" s="563"/>
      <c r="N539" s="564" t="s">
        <v>40</v>
      </c>
      <c r="O539" s="565">
        <v>575</v>
      </c>
      <c r="P539" s="31" t="s">
        <v>80</v>
      </c>
      <c r="Q539" s="258">
        <f t="shared" si="23"/>
        <v>9.9137931034482766E-3</v>
      </c>
      <c r="R539" s="102">
        <v>45737</v>
      </c>
      <c r="S539" s="258" t="s">
        <v>65</v>
      </c>
      <c r="T539" s="34">
        <v>45759</v>
      </c>
      <c r="U539" s="100" t="s">
        <v>76</v>
      </c>
      <c r="V539" s="34" t="s">
        <v>1323</v>
      </c>
      <c r="W539" s="33" t="s">
        <v>1325</v>
      </c>
      <c r="X539" s="62">
        <f>54017-10803.5</f>
        <v>43213.5</v>
      </c>
      <c r="Y539" s="33" t="s">
        <v>46</v>
      </c>
      <c r="Z539" s="33"/>
      <c r="AA539" s="78"/>
      <c r="AB539" s="7">
        <v>45758</v>
      </c>
      <c r="AC539" s="7">
        <v>45758</v>
      </c>
      <c r="AD539" s="38"/>
      <c r="AE539" s="71">
        <v>45764</v>
      </c>
      <c r="AF539" s="15"/>
      <c r="AG539" s="15"/>
      <c r="AH539" s="15"/>
      <c r="AI539" s="15"/>
      <c r="AJ539" s="15"/>
      <c r="AK539" s="15"/>
      <c r="AL539" s="15"/>
      <c r="AM539" s="15"/>
      <c r="AN539" s="15"/>
      <c r="AO539" s="15"/>
      <c r="AP539" s="15"/>
      <c r="AQ539" s="15"/>
      <c r="AR539" s="15"/>
      <c r="AS539" s="15"/>
      <c r="AT539" s="15"/>
      <c r="AU539" s="15"/>
      <c r="AV539" s="15"/>
      <c r="AW539" s="15"/>
      <c r="AX539" s="15"/>
      <c r="AY539" s="15"/>
    </row>
    <row r="540" spans="1:51" s="30" customFormat="1" ht="24.95" hidden="1" customHeight="1" x14ac:dyDescent="0.25">
      <c r="A540" s="109" t="s">
        <v>251</v>
      </c>
      <c r="B540" s="22">
        <v>29278</v>
      </c>
      <c r="C540" s="23">
        <v>40500</v>
      </c>
      <c r="D540" s="22" t="s">
        <v>249</v>
      </c>
      <c r="E540" s="22" t="s">
        <v>1326</v>
      </c>
      <c r="F540" s="22"/>
      <c r="G540" s="22"/>
      <c r="H540" s="22" t="s">
        <v>37</v>
      </c>
      <c r="I540" s="22" t="s">
        <v>253</v>
      </c>
      <c r="J540" s="22" t="s">
        <v>62</v>
      </c>
      <c r="K540" s="22"/>
      <c r="L540" s="25">
        <v>45757</v>
      </c>
      <c r="M540" s="25"/>
      <c r="N540" s="22" t="s">
        <v>103</v>
      </c>
      <c r="O540" s="26">
        <v>6600</v>
      </c>
      <c r="P540" s="22" t="s">
        <v>80</v>
      </c>
      <c r="Q540" s="259">
        <f t="shared" si="23"/>
        <v>0.16296296296296298</v>
      </c>
      <c r="R540" s="217"/>
      <c r="S540" s="27"/>
      <c r="T540" s="24"/>
      <c r="U540" s="28" t="s">
        <v>66</v>
      </c>
      <c r="V540" s="25" t="s">
        <v>1323</v>
      </c>
      <c r="W540" s="24" t="s">
        <v>45</v>
      </c>
      <c r="X540" s="29">
        <v>135735</v>
      </c>
      <c r="Y540" s="24" t="s">
        <v>215</v>
      </c>
      <c r="Z540" s="24"/>
      <c r="AA540" s="78"/>
      <c r="AB540" s="351"/>
      <c r="AC540" s="7">
        <v>45759</v>
      </c>
      <c r="AD540" s="316" t="s">
        <v>1327</v>
      </c>
      <c r="AE540" s="7">
        <v>45768</v>
      </c>
      <c r="AF540" s="15"/>
      <c r="AG540" s="15"/>
      <c r="AH540" s="15"/>
      <c r="AI540" s="15"/>
      <c r="AJ540" s="15"/>
      <c r="AK540" s="15"/>
      <c r="AL540" s="15"/>
      <c r="AM540" s="15"/>
      <c r="AN540" s="15"/>
      <c r="AO540" s="15"/>
      <c r="AP540" s="15"/>
      <c r="AQ540" s="15"/>
      <c r="AR540" s="15"/>
      <c r="AS540" s="15"/>
      <c r="AT540" s="15"/>
      <c r="AU540" s="15"/>
      <c r="AV540" s="15"/>
      <c r="AW540" s="15"/>
      <c r="AX540" s="15"/>
      <c r="AY540" s="15"/>
    </row>
    <row r="541" spans="1:51" s="15" customFormat="1" ht="24.95" hidden="1" customHeight="1" x14ac:dyDescent="0.25">
      <c r="A541" s="209" t="s">
        <v>279</v>
      </c>
      <c r="B541" s="6">
        <v>29024</v>
      </c>
      <c r="C541" s="5">
        <v>35000</v>
      </c>
      <c r="D541" s="6" t="s">
        <v>105</v>
      </c>
      <c r="E541" s="6" t="s">
        <v>280</v>
      </c>
      <c r="F541" s="6" t="s">
        <v>1328</v>
      </c>
      <c r="G541" s="6" t="s">
        <v>36</v>
      </c>
      <c r="H541" s="6" t="s">
        <v>37</v>
      </c>
      <c r="I541" s="6" t="s">
        <v>281</v>
      </c>
      <c r="J541" s="6" t="s">
        <v>120</v>
      </c>
      <c r="K541" s="6"/>
      <c r="L541" s="7">
        <v>45698</v>
      </c>
      <c r="M541" s="7" t="s">
        <v>39</v>
      </c>
      <c r="N541" s="73" t="s">
        <v>40</v>
      </c>
      <c r="O541" s="13">
        <f>3613+400</f>
        <v>4013</v>
      </c>
      <c r="P541" s="6" t="s">
        <v>41</v>
      </c>
      <c r="Q541" s="19">
        <f t="shared" si="23"/>
        <v>0.11465714285714286</v>
      </c>
      <c r="R541" s="7">
        <v>45747</v>
      </c>
      <c r="S541" s="41" t="s">
        <v>65</v>
      </c>
      <c r="T541" s="7">
        <v>45763</v>
      </c>
      <c r="U541" s="17" t="s">
        <v>76</v>
      </c>
      <c r="V541" s="7" t="s">
        <v>1323</v>
      </c>
      <c r="W541" s="11" t="s">
        <v>45</v>
      </c>
      <c r="X541" s="236">
        <v>134750</v>
      </c>
      <c r="Y541" s="11" t="s">
        <v>68</v>
      </c>
      <c r="Z541" s="11"/>
      <c r="AA541" s="71">
        <v>45751</v>
      </c>
      <c r="AB541" s="71">
        <v>45754</v>
      </c>
      <c r="AC541" s="7"/>
      <c r="AD541" s="38"/>
      <c r="AE541" s="71">
        <v>45748</v>
      </c>
    </row>
    <row r="542" spans="1:51" s="2" customFormat="1" ht="24.95" hidden="1" customHeight="1" x14ac:dyDescent="0.25">
      <c r="A542" s="209" t="s">
        <v>1225</v>
      </c>
      <c r="B542" s="6">
        <v>28939</v>
      </c>
      <c r="C542" s="390">
        <v>52800</v>
      </c>
      <c r="D542" s="6" t="s">
        <v>33</v>
      </c>
      <c r="E542" s="6" t="s">
        <v>1329</v>
      </c>
      <c r="F542" s="6" t="s">
        <v>1330</v>
      </c>
      <c r="G542" s="159" t="s">
        <v>36</v>
      </c>
      <c r="H542" s="6" t="s">
        <v>109</v>
      </c>
      <c r="I542" s="159" t="s">
        <v>52</v>
      </c>
      <c r="J542" s="159" t="s">
        <v>156</v>
      </c>
      <c r="K542" s="159"/>
      <c r="L542" s="7">
        <v>45716</v>
      </c>
      <c r="M542" s="3"/>
      <c r="N542" s="73" t="s">
        <v>40</v>
      </c>
      <c r="O542" s="177">
        <v>575</v>
      </c>
      <c r="P542" s="159" t="s">
        <v>80</v>
      </c>
      <c r="Q542" s="19">
        <f t="shared" si="23"/>
        <v>1.0890151515151516E-2</v>
      </c>
      <c r="R542" s="7"/>
      <c r="S542" s="41"/>
      <c r="T542" s="7">
        <v>45758</v>
      </c>
      <c r="U542" s="17" t="s">
        <v>43</v>
      </c>
      <c r="V542" s="7" t="s">
        <v>1331</v>
      </c>
      <c r="W542" s="11" t="s">
        <v>45</v>
      </c>
      <c r="X542" s="236">
        <v>76800</v>
      </c>
      <c r="Y542" s="11" t="s">
        <v>46</v>
      </c>
      <c r="Z542" s="11"/>
      <c r="AA542" s="78"/>
      <c r="AB542" s="7">
        <v>45763</v>
      </c>
      <c r="AC542" s="7">
        <v>45758</v>
      </c>
      <c r="AD542" s="45"/>
      <c r="AE542" s="71">
        <v>45770</v>
      </c>
      <c r="AF542" s="15"/>
      <c r="AG542" s="15"/>
      <c r="AH542" s="15"/>
      <c r="AI542" s="15"/>
      <c r="AJ542" s="15"/>
      <c r="AK542" s="15"/>
      <c r="AL542" s="15"/>
      <c r="AM542" s="15"/>
      <c r="AN542" s="15"/>
      <c r="AO542" s="15"/>
      <c r="AP542" s="15"/>
      <c r="AQ542" s="15"/>
      <c r="AR542" s="15"/>
      <c r="AS542" s="15"/>
      <c r="AT542" s="15"/>
      <c r="AU542" s="15"/>
    </row>
    <row r="543" spans="1:51" s="30" customFormat="1" ht="24.95" hidden="1" customHeight="1" x14ac:dyDescent="0.25">
      <c r="A543" s="109" t="s">
        <v>560</v>
      </c>
      <c r="B543" s="22">
        <v>29564</v>
      </c>
      <c r="C543" s="23">
        <v>40558</v>
      </c>
      <c r="D543" s="22" t="s">
        <v>249</v>
      </c>
      <c r="E543" s="22" t="s">
        <v>1100</v>
      </c>
      <c r="F543" s="22"/>
      <c r="G543" s="22"/>
      <c r="H543" s="22" t="s">
        <v>37</v>
      </c>
      <c r="I543" s="22" t="s">
        <v>256</v>
      </c>
      <c r="J543" s="22" t="s">
        <v>1332</v>
      </c>
      <c r="K543" s="22"/>
      <c r="L543" s="25">
        <v>45762</v>
      </c>
      <c r="M543" s="25"/>
      <c r="N543" s="22"/>
      <c r="O543" s="26"/>
      <c r="P543" s="22"/>
      <c r="Q543" s="259"/>
      <c r="R543" s="217"/>
      <c r="S543" s="27"/>
      <c r="T543" s="24"/>
      <c r="U543" s="28" t="s">
        <v>66</v>
      </c>
      <c r="V543" s="25" t="s">
        <v>1331</v>
      </c>
      <c r="W543" s="24" t="s">
        <v>45</v>
      </c>
      <c r="X543" s="29">
        <v>72814</v>
      </c>
      <c r="Y543" s="24" t="s">
        <v>215</v>
      </c>
      <c r="Z543" s="24"/>
      <c r="AA543" s="78"/>
      <c r="AB543" s="78"/>
      <c r="AC543" s="7">
        <v>45763</v>
      </c>
      <c r="AD543" s="316"/>
      <c r="AE543" s="7">
        <v>45774</v>
      </c>
      <c r="AF543" s="15"/>
      <c r="AG543" s="15"/>
      <c r="AH543" s="15"/>
      <c r="AI543" s="15"/>
      <c r="AJ543" s="15"/>
      <c r="AK543" s="15"/>
      <c r="AL543" s="15"/>
      <c r="AM543" s="15"/>
      <c r="AN543" s="15"/>
      <c r="AO543" s="15"/>
      <c r="AP543" s="15"/>
      <c r="AQ543" s="15"/>
      <c r="AR543" s="15"/>
      <c r="AS543" s="15"/>
      <c r="AT543" s="15"/>
      <c r="AU543" s="15"/>
      <c r="AV543" s="15"/>
      <c r="AW543" s="15"/>
      <c r="AX543" s="15"/>
      <c r="AY543" s="15"/>
    </row>
    <row r="544" spans="1:51" s="30" customFormat="1" ht="24.95" hidden="1" customHeight="1" x14ac:dyDescent="0.25">
      <c r="A544" s="109" t="s">
        <v>1333</v>
      </c>
      <c r="B544" s="22">
        <v>29737</v>
      </c>
      <c r="C544" s="23">
        <v>55000</v>
      </c>
      <c r="D544" s="22" t="s">
        <v>249</v>
      </c>
      <c r="E544" s="22" t="s">
        <v>1334</v>
      </c>
      <c r="F544" s="22" t="s">
        <v>1335</v>
      </c>
      <c r="G544" s="22"/>
      <c r="H544" s="22" t="s">
        <v>60</v>
      </c>
      <c r="I544" s="22"/>
      <c r="J544" s="22" t="s">
        <v>53</v>
      </c>
      <c r="K544" s="22"/>
      <c r="L544" s="25">
        <v>45758</v>
      </c>
      <c r="M544" s="25"/>
      <c r="N544" s="22"/>
      <c r="O544" s="26"/>
      <c r="P544" s="22"/>
      <c r="Q544" s="27"/>
      <c r="R544" s="244"/>
      <c r="S544" s="315"/>
      <c r="T544" s="55"/>
      <c r="U544" s="245" t="s">
        <v>66</v>
      </c>
      <c r="V544" s="25" t="s">
        <v>1331</v>
      </c>
      <c r="W544" s="24" t="s">
        <v>45</v>
      </c>
      <c r="X544" s="29">
        <v>24304</v>
      </c>
      <c r="Y544" s="24" t="s">
        <v>215</v>
      </c>
      <c r="Z544" s="24"/>
      <c r="AA544" s="78"/>
      <c r="AB544" s="78"/>
      <c r="AC544" s="78"/>
      <c r="AD544" s="48"/>
      <c r="AE544" s="71" t="s">
        <v>378</v>
      </c>
      <c r="AF544" s="15"/>
      <c r="AG544" s="15"/>
      <c r="AH544" s="15"/>
      <c r="AI544" s="15"/>
      <c r="AJ544" s="15"/>
      <c r="AK544" s="15"/>
      <c r="AL544" s="15"/>
      <c r="AM544" s="15"/>
      <c r="AN544" s="15"/>
      <c r="AO544" s="15"/>
      <c r="AP544" s="15"/>
      <c r="AQ544" s="15"/>
      <c r="AR544" s="15"/>
      <c r="AS544" s="15"/>
      <c r="AT544" s="15"/>
      <c r="AU544" s="15"/>
      <c r="AV544" s="15"/>
      <c r="AW544" s="15"/>
      <c r="AX544" s="15"/>
      <c r="AY544" s="15"/>
    </row>
    <row r="545" spans="1:51" s="15" customFormat="1" ht="24.95" hidden="1" customHeight="1" x14ac:dyDescent="0.25">
      <c r="A545" s="16" t="s">
        <v>1185</v>
      </c>
      <c r="B545" s="167">
        <v>28305</v>
      </c>
      <c r="C545" s="5">
        <v>55000</v>
      </c>
      <c r="D545" s="167" t="s">
        <v>33</v>
      </c>
      <c r="E545" s="167" t="s">
        <v>146</v>
      </c>
      <c r="F545" s="167" t="s">
        <v>1336</v>
      </c>
      <c r="G545" s="167" t="s">
        <v>602</v>
      </c>
      <c r="H545" s="169" t="s">
        <v>51</v>
      </c>
      <c r="I545" s="169" t="s">
        <v>52</v>
      </c>
      <c r="J545" s="169" t="s">
        <v>75</v>
      </c>
      <c r="K545" s="169"/>
      <c r="L545" s="7">
        <v>45727</v>
      </c>
      <c r="M545" s="64"/>
      <c r="N545" s="73" t="s">
        <v>1337</v>
      </c>
      <c r="O545" s="177">
        <v>1127.7</v>
      </c>
      <c r="P545" s="159" t="s">
        <v>80</v>
      </c>
      <c r="Q545" s="19"/>
      <c r="R545" s="65">
        <v>45751</v>
      </c>
      <c r="S545" s="41" t="s">
        <v>65</v>
      </c>
      <c r="T545" s="7">
        <v>45762</v>
      </c>
      <c r="U545" s="46" t="s">
        <v>76</v>
      </c>
      <c r="V545" s="7" t="s">
        <v>1331</v>
      </c>
      <c r="W545" s="11" t="s">
        <v>67</v>
      </c>
      <c r="X545" s="236">
        <v>73750</v>
      </c>
      <c r="Y545" s="171" t="s">
        <v>46</v>
      </c>
      <c r="Z545" s="171"/>
      <c r="AA545" s="351"/>
      <c r="AB545" s="7">
        <v>45769</v>
      </c>
      <c r="AC545" s="7">
        <v>45762</v>
      </c>
      <c r="AD545" s="38"/>
      <c r="AE545" s="7">
        <v>45769</v>
      </c>
    </row>
    <row r="546" spans="1:51" s="15" customFormat="1" ht="24.95" hidden="1" customHeight="1" x14ac:dyDescent="0.25">
      <c r="A546" s="16" t="s">
        <v>1338</v>
      </c>
      <c r="B546" s="6">
        <v>29054</v>
      </c>
      <c r="C546" s="5">
        <v>18040</v>
      </c>
      <c r="D546" s="6" t="s">
        <v>105</v>
      </c>
      <c r="E546" s="6" t="s">
        <v>1339</v>
      </c>
      <c r="F546" s="6" t="s">
        <v>1340</v>
      </c>
      <c r="G546" s="6" t="s">
        <v>130</v>
      </c>
      <c r="H546" s="4" t="s">
        <v>37</v>
      </c>
      <c r="I546" s="4" t="s">
        <v>74</v>
      </c>
      <c r="J546" s="4" t="s">
        <v>75</v>
      </c>
      <c r="K546" s="4"/>
      <c r="L546" s="7">
        <v>45718</v>
      </c>
      <c r="M546" s="7" t="s">
        <v>861</v>
      </c>
      <c r="N546" s="73" t="s">
        <v>40</v>
      </c>
      <c r="O546" s="13">
        <v>3930</v>
      </c>
      <c r="P546" s="6" t="s">
        <v>41</v>
      </c>
      <c r="Q546" s="19">
        <f>+O546/C546</f>
        <v>0.21784922394678491</v>
      </c>
      <c r="R546" s="7">
        <v>45751</v>
      </c>
      <c r="S546" s="41" t="s">
        <v>65</v>
      </c>
      <c r="T546" s="7">
        <v>45771</v>
      </c>
      <c r="U546" s="67" t="s">
        <v>178</v>
      </c>
      <c r="V546" s="7" t="s">
        <v>1331</v>
      </c>
      <c r="W546" s="11" t="s">
        <v>67</v>
      </c>
      <c r="X546" s="236">
        <v>16870</v>
      </c>
      <c r="Y546" s="11" t="s">
        <v>46</v>
      </c>
      <c r="Z546" s="171"/>
      <c r="AA546" s="351"/>
      <c r="AB546" s="71">
        <v>45761</v>
      </c>
      <c r="AC546" s="7">
        <v>45770</v>
      </c>
      <c r="AD546" s="38"/>
      <c r="AE546" s="71">
        <v>45733</v>
      </c>
    </row>
    <row r="547" spans="1:51" s="30" customFormat="1" ht="24.95" hidden="1" customHeight="1" x14ac:dyDescent="0.25">
      <c r="A547" s="21" t="s">
        <v>251</v>
      </c>
      <c r="B547" s="22">
        <v>29275</v>
      </c>
      <c r="C547" s="23">
        <v>40500</v>
      </c>
      <c r="D547" s="22" t="s">
        <v>249</v>
      </c>
      <c r="E547" s="22" t="s">
        <v>421</v>
      </c>
      <c r="F547" s="22"/>
      <c r="G547" s="22"/>
      <c r="H547" s="22" t="s">
        <v>37</v>
      </c>
      <c r="I547" s="22" t="s">
        <v>253</v>
      </c>
      <c r="J547" s="22" t="s">
        <v>62</v>
      </c>
      <c r="K547" s="22"/>
      <c r="L547" s="25">
        <v>45769</v>
      </c>
      <c r="M547" s="25"/>
      <c r="N547" s="22" t="s">
        <v>103</v>
      </c>
      <c r="O547" s="26">
        <v>6600</v>
      </c>
      <c r="P547" s="22" t="s">
        <v>80</v>
      </c>
      <c r="Q547" s="26"/>
      <c r="R547" s="217"/>
      <c r="S547" s="27"/>
      <c r="T547" s="24"/>
      <c r="U547" s="28" t="s">
        <v>66</v>
      </c>
      <c r="V547" s="25" t="s">
        <v>1341</v>
      </c>
      <c r="W547" s="24" t="s">
        <v>45</v>
      </c>
      <c r="X547" s="29">
        <v>128790</v>
      </c>
      <c r="Y547" s="24" t="s">
        <v>215</v>
      </c>
      <c r="Z547" s="261"/>
      <c r="AA547" s="351"/>
      <c r="AB547" s="351"/>
      <c r="AC547" s="7">
        <v>45772</v>
      </c>
      <c r="AD547" s="383" t="s">
        <v>1327</v>
      </c>
      <c r="AE547" s="71">
        <v>45777</v>
      </c>
      <c r="AF547" s="15"/>
      <c r="AG547" s="15"/>
      <c r="AH547" s="15"/>
      <c r="AI547" s="15"/>
      <c r="AJ547" s="15"/>
      <c r="AK547" s="15"/>
      <c r="AL547" s="15"/>
      <c r="AM547" s="15"/>
      <c r="AN547" s="15"/>
      <c r="AO547" s="15"/>
      <c r="AP547" s="15"/>
      <c r="AQ547" s="15"/>
      <c r="AR547" s="15"/>
      <c r="AS547" s="15"/>
      <c r="AT547" s="15"/>
      <c r="AU547" s="15"/>
      <c r="AV547" s="15"/>
      <c r="AW547" s="15"/>
      <c r="AX547" s="15"/>
      <c r="AY547" s="15"/>
    </row>
    <row r="548" spans="1:51" s="15" customFormat="1" ht="24.95" hidden="1" customHeight="1" x14ac:dyDescent="0.25">
      <c r="A548" s="16" t="s">
        <v>470</v>
      </c>
      <c r="B548" s="6">
        <v>28983</v>
      </c>
      <c r="C548" s="5">
        <v>55000</v>
      </c>
      <c r="D548" s="6" t="s">
        <v>33</v>
      </c>
      <c r="E548" s="6" t="s">
        <v>471</v>
      </c>
      <c r="F548" s="159" t="s">
        <v>1342</v>
      </c>
      <c r="G548" s="167" t="s">
        <v>36</v>
      </c>
      <c r="H548" s="6" t="s">
        <v>109</v>
      </c>
      <c r="I548" s="6" t="s">
        <v>52</v>
      </c>
      <c r="J548" s="6" t="s">
        <v>473</v>
      </c>
      <c r="K548" s="6"/>
      <c r="L548" s="7">
        <v>45718</v>
      </c>
      <c r="M548" s="7"/>
      <c r="N548" s="73" t="s">
        <v>40</v>
      </c>
      <c r="O548" s="177">
        <v>575</v>
      </c>
      <c r="P548" s="6" t="s">
        <v>80</v>
      </c>
      <c r="Q548" s="19">
        <f>+O548/C548</f>
        <v>1.0454545454545454E-2</v>
      </c>
      <c r="R548" s="219"/>
      <c r="S548" s="36"/>
      <c r="T548" s="7">
        <v>45766</v>
      </c>
      <c r="U548" s="17" t="s">
        <v>43</v>
      </c>
      <c r="V548" s="7" t="s">
        <v>1341</v>
      </c>
      <c r="W548" s="11" t="s">
        <v>67</v>
      </c>
      <c r="X548" s="236">
        <v>50138</v>
      </c>
      <c r="Y548" s="11" t="s">
        <v>68</v>
      </c>
      <c r="Z548" s="11"/>
      <c r="AA548" s="7">
        <v>45772</v>
      </c>
      <c r="AB548" s="7">
        <v>45772</v>
      </c>
      <c r="AC548" s="7">
        <v>45765</v>
      </c>
      <c r="AD548" s="38"/>
      <c r="AE548" s="71">
        <v>45777</v>
      </c>
    </row>
    <row r="549" spans="1:51" s="15" customFormat="1" ht="24.95" hidden="1" customHeight="1" x14ac:dyDescent="0.25">
      <c r="A549" s="209" t="s">
        <v>459</v>
      </c>
      <c r="B549" s="6">
        <v>28164</v>
      </c>
      <c r="C549" s="5">
        <v>44000</v>
      </c>
      <c r="D549" s="6" t="s">
        <v>105</v>
      </c>
      <c r="E549" s="6" t="s">
        <v>154</v>
      </c>
      <c r="F549" s="4" t="s">
        <v>1343</v>
      </c>
      <c r="G549" s="6" t="s">
        <v>369</v>
      </c>
      <c r="H549" s="4" t="s">
        <v>51</v>
      </c>
      <c r="I549" s="4" t="s">
        <v>52</v>
      </c>
      <c r="J549" s="4" t="s">
        <v>156</v>
      </c>
      <c r="K549" s="4"/>
      <c r="L549" s="7">
        <v>45686</v>
      </c>
      <c r="M549" s="7"/>
      <c r="N549" s="73" t="s">
        <v>40</v>
      </c>
      <c r="O549" s="13">
        <v>575</v>
      </c>
      <c r="P549" s="6" t="s">
        <v>80</v>
      </c>
      <c r="Q549" s="19">
        <f>+O549/C549</f>
        <v>1.3068181818181817E-2</v>
      </c>
      <c r="R549" s="7">
        <v>45762</v>
      </c>
      <c r="S549" s="41" t="s">
        <v>121</v>
      </c>
      <c r="T549" s="7">
        <v>45769</v>
      </c>
      <c r="U549" s="46" t="s">
        <v>76</v>
      </c>
      <c r="V549" s="7" t="s">
        <v>1341</v>
      </c>
      <c r="W549" s="11" t="s">
        <v>45</v>
      </c>
      <c r="X549" s="236">
        <v>46000</v>
      </c>
      <c r="Y549" s="11" t="s">
        <v>46</v>
      </c>
      <c r="Z549" s="171"/>
      <c r="AA549" s="351"/>
      <c r="AB549" s="71"/>
      <c r="AC549" s="7">
        <v>45769</v>
      </c>
      <c r="AD549" s="38" t="s">
        <v>1344</v>
      </c>
      <c r="AE549" s="71">
        <v>45777</v>
      </c>
    </row>
    <row r="550" spans="1:51" s="30" customFormat="1" ht="24.95" hidden="1" customHeight="1" x14ac:dyDescent="0.25">
      <c r="A550" s="109" t="s">
        <v>263</v>
      </c>
      <c r="B550" s="22">
        <v>29974</v>
      </c>
      <c r="C550" s="23">
        <v>20000</v>
      </c>
      <c r="D550" s="22">
        <v>10</v>
      </c>
      <c r="E550" s="22" t="s">
        <v>265</v>
      </c>
      <c r="F550" s="22"/>
      <c r="G550" s="22"/>
      <c r="H550" s="22" t="s">
        <v>37</v>
      </c>
      <c r="I550" s="22" t="s">
        <v>266</v>
      </c>
      <c r="J550" s="22" t="s">
        <v>62</v>
      </c>
      <c r="K550" s="22"/>
      <c r="L550" s="25">
        <v>45772</v>
      </c>
      <c r="M550" s="25"/>
      <c r="N550" s="22" t="s">
        <v>441</v>
      </c>
      <c r="O550" s="26">
        <v>1695</v>
      </c>
      <c r="P550" s="22" t="s">
        <v>80</v>
      </c>
      <c r="Q550" s="26"/>
      <c r="R550" s="217"/>
      <c r="S550" s="27"/>
      <c r="T550" s="24"/>
      <c r="U550" s="28" t="s">
        <v>66</v>
      </c>
      <c r="V550" s="25" t="s">
        <v>1341</v>
      </c>
      <c r="W550" s="24" t="s">
        <v>67</v>
      </c>
      <c r="X550" s="29">
        <v>77200</v>
      </c>
      <c r="Y550" s="24" t="s">
        <v>215</v>
      </c>
      <c r="Z550" s="261"/>
      <c r="AA550" s="351"/>
      <c r="AB550" s="351"/>
      <c r="AC550" s="7"/>
      <c r="AD550" s="383"/>
      <c r="AE550" s="71">
        <v>45776</v>
      </c>
      <c r="AF550" s="15"/>
      <c r="AG550" s="15"/>
      <c r="AH550" s="15"/>
      <c r="AI550" s="15"/>
      <c r="AJ550" s="15"/>
      <c r="AK550" s="15"/>
      <c r="AL550" s="15"/>
      <c r="AM550" s="15"/>
      <c r="AN550" s="15"/>
      <c r="AO550" s="15"/>
      <c r="AP550" s="15"/>
      <c r="AQ550" s="15"/>
      <c r="AR550" s="15"/>
      <c r="AS550" s="15"/>
      <c r="AT550" s="15"/>
      <c r="AU550" s="15"/>
      <c r="AV550" s="15"/>
      <c r="AW550" s="15"/>
      <c r="AX550" s="15"/>
      <c r="AY550" s="15"/>
    </row>
    <row r="551" spans="1:51" s="15" customFormat="1" ht="24.95" hidden="1" customHeight="1" x14ac:dyDescent="0.25">
      <c r="A551" s="16" t="s">
        <v>1345</v>
      </c>
      <c r="B551" s="6">
        <v>27483</v>
      </c>
      <c r="C551" s="5">
        <v>48400</v>
      </c>
      <c r="D551" s="6" t="s">
        <v>48</v>
      </c>
      <c r="E551" s="6" t="s">
        <v>1044</v>
      </c>
      <c r="F551" s="6" t="s">
        <v>1346</v>
      </c>
      <c r="G551" s="6" t="s">
        <v>687</v>
      </c>
      <c r="H551" s="4" t="s">
        <v>37</v>
      </c>
      <c r="I551" s="4" t="s">
        <v>97</v>
      </c>
      <c r="J551" s="4" t="s">
        <v>98</v>
      </c>
      <c r="K551" s="4"/>
      <c r="L551" s="7">
        <v>45724</v>
      </c>
      <c r="M551" s="7" t="s">
        <v>487</v>
      </c>
      <c r="N551" s="73" t="s">
        <v>40</v>
      </c>
      <c r="O551" s="13">
        <f>4035+400</f>
        <v>4435</v>
      </c>
      <c r="P551" s="6" t="s">
        <v>41</v>
      </c>
      <c r="Q551" s="19">
        <f>+O551/C551</f>
        <v>9.1632231404958672E-2</v>
      </c>
      <c r="R551" s="219"/>
      <c r="S551" s="41"/>
      <c r="T551" s="71">
        <v>45773</v>
      </c>
      <c r="U551" s="67" t="s">
        <v>43</v>
      </c>
      <c r="V551" s="7" t="s">
        <v>1341</v>
      </c>
      <c r="W551" s="11" t="s">
        <v>67</v>
      </c>
      <c r="X551" s="236">
        <f>50600</f>
        <v>50600</v>
      </c>
      <c r="Y551" s="11" t="s">
        <v>46</v>
      </c>
      <c r="Z551" s="171"/>
      <c r="AA551" s="351"/>
      <c r="AB551" s="71"/>
      <c r="AC551" s="7">
        <v>45775</v>
      </c>
      <c r="AD551" s="38"/>
      <c r="AE551" s="71">
        <v>45771</v>
      </c>
    </row>
    <row r="552" spans="1:51" s="30" customFormat="1" ht="24.95" hidden="1" customHeight="1" x14ac:dyDescent="0.25">
      <c r="A552" s="21" t="s">
        <v>251</v>
      </c>
      <c r="B552" s="22">
        <v>29279</v>
      </c>
      <c r="C552" s="23">
        <v>40500</v>
      </c>
      <c r="D552" s="22" t="s">
        <v>249</v>
      </c>
      <c r="E552" s="22" t="s">
        <v>1083</v>
      </c>
      <c r="F552" s="22"/>
      <c r="G552" s="22"/>
      <c r="H552" s="22" t="s">
        <v>37</v>
      </c>
      <c r="I552" s="22" t="s">
        <v>253</v>
      </c>
      <c r="J552" s="22" t="s">
        <v>62</v>
      </c>
      <c r="K552" s="22"/>
      <c r="L552" s="25">
        <v>45770</v>
      </c>
      <c r="M552" s="25"/>
      <c r="N552" s="22" t="s">
        <v>103</v>
      </c>
      <c r="O552" s="26">
        <v>6600</v>
      </c>
      <c r="P552" s="22" t="s">
        <v>80</v>
      </c>
      <c r="Q552" s="26"/>
      <c r="R552" s="217"/>
      <c r="S552" s="27"/>
      <c r="T552" s="24"/>
      <c r="U552" s="28" t="s">
        <v>66</v>
      </c>
      <c r="V552" s="25" t="s">
        <v>1341</v>
      </c>
      <c r="W552" s="24" t="s">
        <v>45</v>
      </c>
      <c r="X552" s="29">
        <v>136485</v>
      </c>
      <c r="Y552" s="24" t="s">
        <v>215</v>
      </c>
      <c r="Z552" s="261"/>
      <c r="AA552" s="351"/>
      <c r="AB552" s="351"/>
      <c r="AC552" s="7"/>
      <c r="AD552" s="383" t="s">
        <v>1327</v>
      </c>
      <c r="AE552" s="71">
        <v>45798</v>
      </c>
      <c r="AF552" s="15"/>
      <c r="AG552" s="15"/>
      <c r="AH552" s="15"/>
      <c r="AI552" s="15"/>
      <c r="AJ552" s="15"/>
      <c r="AK552" s="15"/>
      <c r="AL552" s="15"/>
      <c r="AM552" s="15"/>
      <c r="AN552" s="15"/>
      <c r="AO552" s="15"/>
      <c r="AP552" s="15"/>
      <c r="AQ552" s="15"/>
      <c r="AR552" s="15"/>
      <c r="AS552" s="15"/>
      <c r="AT552" s="15"/>
      <c r="AU552" s="15"/>
      <c r="AV552" s="15"/>
      <c r="AW552" s="15"/>
      <c r="AX552" s="15"/>
      <c r="AY552" s="15"/>
    </row>
    <row r="553" spans="1:51" s="30" customFormat="1" ht="24.95" hidden="1" customHeight="1" x14ac:dyDescent="0.25">
      <c r="A553" s="109" t="s">
        <v>259</v>
      </c>
      <c r="B553" s="22">
        <v>28362</v>
      </c>
      <c r="C553" s="23">
        <v>40500</v>
      </c>
      <c r="D553" s="22">
        <v>13</v>
      </c>
      <c r="E553" s="22" t="s">
        <v>260</v>
      </c>
      <c r="F553" s="22"/>
      <c r="G553" s="22"/>
      <c r="H553" s="22" t="s">
        <v>37</v>
      </c>
      <c r="I553" s="22" t="s">
        <v>261</v>
      </c>
      <c r="J553" s="22" t="s">
        <v>53</v>
      </c>
      <c r="K553" s="22"/>
      <c r="L553" s="255">
        <v>45785</v>
      </c>
      <c r="M553" s="25"/>
      <c r="N553" s="22"/>
      <c r="O553" s="26"/>
      <c r="P553" s="22"/>
      <c r="Q553" s="259"/>
      <c r="R553" s="217"/>
      <c r="S553" s="27"/>
      <c r="T553" s="24"/>
      <c r="U553" s="28" t="s">
        <v>66</v>
      </c>
      <c r="V553" s="25" t="s">
        <v>1347</v>
      </c>
      <c r="W553" s="24" t="s">
        <v>45</v>
      </c>
      <c r="X553" s="29">
        <v>40950</v>
      </c>
      <c r="Y553" s="24" t="s">
        <v>215</v>
      </c>
      <c r="Z553" s="24"/>
      <c r="AA553" s="78"/>
      <c r="AB553" s="78"/>
      <c r="AC553" s="78"/>
      <c r="AD553" s="316"/>
      <c r="AE553" s="7" t="s">
        <v>378</v>
      </c>
      <c r="AF553" s="15"/>
      <c r="AG553" s="15"/>
      <c r="AH553" s="15"/>
      <c r="AI553" s="15"/>
      <c r="AJ553" s="15"/>
      <c r="AK553" s="15"/>
      <c r="AL553" s="15"/>
      <c r="AM553" s="15"/>
      <c r="AN553" s="15"/>
      <c r="AO553" s="15"/>
      <c r="AP553" s="15"/>
      <c r="AQ553" s="15"/>
      <c r="AR553" s="15"/>
      <c r="AS553" s="15"/>
      <c r="AT553" s="15"/>
      <c r="AU553" s="15"/>
      <c r="AV553" s="15"/>
      <c r="AW553" s="15"/>
      <c r="AX553" s="15"/>
      <c r="AY553" s="15"/>
    </row>
    <row r="554" spans="1:51" s="30" customFormat="1" ht="24.95" hidden="1" customHeight="1" x14ac:dyDescent="0.25">
      <c r="A554" s="109" t="s">
        <v>259</v>
      </c>
      <c r="B554" s="22">
        <v>28373</v>
      </c>
      <c r="C554" s="23">
        <v>57200</v>
      </c>
      <c r="D554" s="22">
        <v>5</v>
      </c>
      <c r="E554" s="22" t="s">
        <v>273</v>
      </c>
      <c r="F554" s="22"/>
      <c r="G554" s="22"/>
      <c r="H554" s="22" t="s">
        <v>37</v>
      </c>
      <c r="I554" s="22" t="s">
        <v>261</v>
      </c>
      <c r="J554" s="22" t="s">
        <v>53</v>
      </c>
      <c r="K554" s="22"/>
      <c r="L554" s="255">
        <v>45785</v>
      </c>
      <c r="M554" s="25"/>
      <c r="N554" s="22"/>
      <c r="O554" s="26"/>
      <c r="P554" s="22"/>
      <c r="Q554" s="259"/>
      <c r="R554" s="217"/>
      <c r="S554" s="27"/>
      <c r="T554" s="24"/>
      <c r="U554" s="28" t="s">
        <v>66</v>
      </c>
      <c r="V554" s="25" t="s">
        <v>1347</v>
      </c>
      <c r="W554" s="24" t="s">
        <v>45</v>
      </c>
      <c r="X554" s="29">
        <v>17820</v>
      </c>
      <c r="Y554" s="24" t="s">
        <v>215</v>
      </c>
      <c r="Z554" s="24"/>
      <c r="AA554" s="78"/>
      <c r="AB554" s="78"/>
      <c r="AC554" s="78"/>
      <c r="AD554" s="316"/>
      <c r="AE554" s="7" t="s">
        <v>378</v>
      </c>
      <c r="AF554" s="15"/>
      <c r="AG554" s="15"/>
      <c r="AH554" s="15"/>
      <c r="AI554" s="15"/>
      <c r="AJ554" s="15"/>
      <c r="AK554" s="15"/>
      <c r="AL554" s="15"/>
      <c r="AM554" s="15"/>
      <c r="AN554" s="15"/>
      <c r="AO554" s="15"/>
      <c r="AP554" s="15"/>
      <c r="AQ554" s="15"/>
      <c r="AR554" s="15"/>
      <c r="AS554" s="15"/>
      <c r="AT554" s="15"/>
      <c r="AU554" s="15"/>
      <c r="AV554" s="15"/>
      <c r="AW554" s="15"/>
      <c r="AX554" s="15"/>
      <c r="AY554" s="15"/>
    </row>
    <row r="555" spans="1:51" s="15" customFormat="1" ht="23.25" hidden="1" customHeight="1" x14ac:dyDescent="0.25">
      <c r="A555" s="209" t="s">
        <v>424</v>
      </c>
      <c r="B555" s="167">
        <v>29187</v>
      </c>
      <c r="C555" s="5">
        <v>45100</v>
      </c>
      <c r="D555" s="167" t="s">
        <v>105</v>
      </c>
      <c r="E555" s="167" t="s">
        <v>563</v>
      </c>
      <c r="F555" s="167" t="s">
        <v>1348</v>
      </c>
      <c r="G555" s="167" t="s">
        <v>108</v>
      </c>
      <c r="H555" s="169" t="s">
        <v>109</v>
      </c>
      <c r="I555" s="169" t="s">
        <v>52</v>
      </c>
      <c r="J555" s="169" t="s">
        <v>171</v>
      </c>
      <c r="K555" s="169"/>
      <c r="L555" s="7">
        <v>45730</v>
      </c>
      <c r="M555" s="64"/>
      <c r="N555" s="73" t="s">
        <v>40</v>
      </c>
      <c r="O555" s="177"/>
      <c r="P555" s="6" t="s">
        <v>80</v>
      </c>
      <c r="Q555" s="19">
        <f>+O555/C555</f>
        <v>0</v>
      </c>
      <c r="R555" s="65"/>
      <c r="S555" s="41"/>
      <c r="T555" s="7">
        <v>45784</v>
      </c>
      <c r="U555" s="46" t="s">
        <v>43</v>
      </c>
      <c r="V555" s="7" t="s">
        <v>1349</v>
      </c>
      <c r="W555" s="11" t="s">
        <v>45</v>
      </c>
      <c r="X555" s="608">
        <v>48175</v>
      </c>
      <c r="Y555" s="171" t="s">
        <v>46</v>
      </c>
      <c r="Z555" s="171"/>
      <c r="AA555" s="351"/>
      <c r="AB555" s="7">
        <v>45792</v>
      </c>
      <c r="AC555" s="7">
        <v>45785</v>
      </c>
      <c r="AD555" s="38"/>
      <c r="AE555" s="263">
        <v>45801</v>
      </c>
    </row>
    <row r="556" spans="1:51" s="15" customFormat="1" ht="24.95" hidden="1" customHeight="1" x14ac:dyDescent="0.25">
      <c r="A556" s="16" t="s">
        <v>1185</v>
      </c>
      <c r="B556" s="167">
        <v>28306</v>
      </c>
      <c r="C556" s="5">
        <v>55000</v>
      </c>
      <c r="D556" s="167" t="s">
        <v>33</v>
      </c>
      <c r="E556" s="167" t="s">
        <v>146</v>
      </c>
      <c r="F556" s="167" t="s">
        <v>1350</v>
      </c>
      <c r="G556" s="167" t="s">
        <v>602</v>
      </c>
      <c r="H556" s="169" t="s">
        <v>51</v>
      </c>
      <c r="I556" s="169" t="s">
        <v>52</v>
      </c>
      <c r="J556" s="169" t="s">
        <v>75</v>
      </c>
      <c r="K556" s="169"/>
      <c r="L556" s="7">
        <v>45741</v>
      </c>
      <c r="M556" s="64"/>
      <c r="N556" s="73" t="s">
        <v>40</v>
      </c>
      <c r="O556" s="177"/>
      <c r="P556" s="6"/>
      <c r="Q556" s="19"/>
      <c r="R556" s="65">
        <v>45777</v>
      </c>
      <c r="S556" s="41" t="s">
        <v>65</v>
      </c>
      <c r="T556" s="112">
        <v>45790</v>
      </c>
      <c r="U556" s="46" t="s">
        <v>76</v>
      </c>
      <c r="V556" s="7" t="s">
        <v>1349</v>
      </c>
      <c r="W556" s="11" t="s">
        <v>45</v>
      </c>
      <c r="X556" s="608">
        <v>73750</v>
      </c>
      <c r="Y556" s="171" t="s">
        <v>46</v>
      </c>
      <c r="Z556" s="747"/>
      <c r="AA556" s="155"/>
      <c r="AB556" s="7">
        <v>45792</v>
      </c>
      <c r="AC556" s="7">
        <v>45788</v>
      </c>
      <c r="AD556" s="38"/>
      <c r="AE556" s="263">
        <v>45792</v>
      </c>
    </row>
    <row r="557" spans="1:51" s="30" customFormat="1" ht="24.95" hidden="1" customHeight="1" x14ac:dyDescent="0.25">
      <c r="A557" s="21" t="s">
        <v>1333</v>
      </c>
      <c r="B557" s="22">
        <v>29737</v>
      </c>
      <c r="C557" s="23">
        <v>55000</v>
      </c>
      <c r="D557" s="22" t="s">
        <v>249</v>
      </c>
      <c r="E557" s="22" t="s">
        <v>901</v>
      </c>
      <c r="F557" s="22" t="s">
        <v>1351</v>
      </c>
      <c r="G557" s="22"/>
      <c r="H557" s="22" t="s">
        <v>60</v>
      </c>
      <c r="I557" s="22"/>
      <c r="J557" s="22" t="s">
        <v>53</v>
      </c>
      <c r="K557" s="22"/>
      <c r="L557" s="25">
        <v>45789</v>
      </c>
      <c r="M557" s="25"/>
      <c r="N557" s="22"/>
      <c r="O557" s="26"/>
      <c r="P557" s="22"/>
      <c r="Q557" s="27"/>
      <c r="R557" s="244"/>
      <c r="S557" s="315"/>
      <c r="T557" s="56">
        <v>45792</v>
      </c>
      <c r="U557" s="245" t="s">
        <v>66</v>
      </c>
      <c r="V557" s="25" t="s">
        <v>1349</v>
      </c>
      <c r="W557" s="55" t="s">
        <v>67</v>
      </c>
      <c r="X557" s="29">
        <v>30855</v>
      </c>
      <c r="Y557" s="24" t="s">
        <v>215</v>
      </c>
      <c r="Z557" s="24"/>
      <c r="AA557" s="78"/>
      <c r="AB557" s="78"/>
      <c r="AC557" s="78"/>
      <c r="AD557" s="48"/>
      <c r="AE557" s="71" t="s">
        <v>378</v>
      </c>
      <c r="AF557" s="15"/>
      <c r="AG557" s="15"/>
      <c r="AH557" s="15"/>
      <c r="AI557" s="15"/>
      <c r="AJ557" s="15"/>
      <c r="AK557" s="15"/>
      <c r="AL557" s="15"/>
      <c r="AM557" s="15"/>
      <c r="AN557" s="15"/>
      <c r="AO557" s="15"/>
      <c r="AP557" s="15"/>
      <c r="AQ557" s="15"/>
      <c r="AR557" s="15"/>
      <c r="AS557" s="15"/>
      <c r="AT557" s="15"/>
      <c r="AU557" s="15"/>
      <c r="AV557" s="15"/>
      <c r="AW557" s="15"/>
      <c r="AX557" s="15"/>
      <c r="AY557" s="15"/>
    </row>
    <row r="558" spans="1:51" s="30" customFormat="1" ht="24.75" hidden="1" customHeight="1" x14ac:dyDescent="0.25">
      <c r="A558" s="109" t="s">
        <v>251</v>
      </c>
      <c r="B558" s="22">
        <v>29824</v>
      </c>
      <c r="C558" s="23">
        <v>40500</v>
      </c>
      <c r="D558" s="22" t="s">
        <v>249</v>
      </c>
      <c r="E558" s="22" t="s">
        <v>1352</v>
      </c>
      <c r="F558" s="22"/>
      <c r="G558" s="22"/>
      <c r="H558" s="22" t="s">
        <v>37</v>
      </c>
      <c r="I558" s="22" t="s">
        <v>253</v>
      </c>
      <c r="J558" s="22" t="s">
        <v>62</v>
      </c>
      <c r="K558" s="22"/>
      <c r="L558" s="25">
        <v>45790</v>
      </c>
      <c r="M558" s="25"/>
      <c r="N558" s="609" t="s">
        <v>103</v>
      </c>
      <c r="O558" s="26">
        <v>6775</v>
      </c>
      <c r="P558" s="22" t="s">
        <v>80</v>
      </c>
      <c r="Q558" s="27">
        <f>+O558/C558</f>
        <v>0.16728395061728396</v>
      </c>
      <c r="R558" s="217"/>
      <c r="S558" s="27"/>
      <c r="T558" s="24"/>
      <c r="U558" s="28" t="s">
        <v>66</v>
      </c>
      <c r="V558" s="25" t="s">
        <v>1349</v>
      </c>
      <c r="W558" s="24" t="s">
        <v>45</v>
      </c>
      <c r="X558" s="29">
        <v>144800</v>
      </c>
      <c r="Y558" s="24" t="s">
        <v>215</v>
      </c>
      <c r="Z558" s="261"/>
      <c r="AA558" s="351"/>
      <c r="AB558" s="351"/>
      <c r="AC558" s="7">
        <v>45792</v>
      </c>
      <c r="AD558" s="486" t="s">
        <v>1353</v>
      </c>
      <c r="AE558" s="7">
        <v>45800</v>
      </c>
      <c r="AF558" s="15"/>
      <c r="AG558" s="15"/>
      <c r="AH558" s="15"/>
      <c r="AI558" s="15"/>
      <c r="AJ558" s="15"/>
      <c r="AK558" s="15"/>
      <c r="AL558" s="15"/>
      <c r="AM558" s="15"/>
      <c r="AN558" s="15"/>
      <c r="AO558" s="15"/>
      <c r="AP558" s="15"/>
      <c r="AQ558" s="15"/>
      <c r="AR558" s="15"/>
      <c r="AS558" s="15"/>
      <c r="AT558" s="15"/>
      <c r="AU558" s="15"/>
      <c r="AV558" s="15"/>
      <c r="AW558" s="15"/>
      <c r="AX558" s="15"/>
      <c r="AY558" s="15"/>
    </row>
    <row r="559" spans="1:51" s="30" customFormat="1" ht="24.95" hidden="1" customHeight="1" x14ac:dyDescent="0.25">
      <c r="A559" s="109" t="s">
        <v>267</v>
      </c>
      <c r="B559" s="22">
        <v>28185</v>
      </c>
      <c r="C559" s="23">
        <v>40000</v>
      </c>
      <c r="D559" s="22" t="s">
        <v>249</v>
      </c>
      <c r="E559" s="22" t="s">
        <v>1203</v>
      </c>
      <c r="F559" s="22"/>
      <c r="G559" s="22"/>
      <c r="H559" s="22" t="s">
        <v>37</v>
      </c>
      <c r="I559" s="22" t="s">
        <v>269</v>
      </c>
      <c r="J559" s="22" t="s">
        <v>62</v>
      </c>
      <c r="K559" s="22"/>
      <c r="L559" s="25">
        <v>45792</v>
      </c>
      <c r="M559" s="25"/>
      <c r="N559" s="609" t="s">
        <v>103</v>
      </c>
      <c r="O559" s="26">
        <v>3800</v>
      </c>
      <c r="P559" s="22" t="s">
        <v>80</v>
      </c>
      <c r="Q559" s="27">
        <f>+O559/C559</f>
        <v>9.5000000000000001E-2</v>
      </c>
      <c r="R559" s="244"/>
      <c r="S559" s="315"/>
      <c r="T559" s="55"/>
      <c r="U559" s="245" t="s">
        <v>66</v>
      </c>
      <c r="V559" s="25" t="s">
        <v>1354</v>
      </c>
      <c r="W559" s="55" t="s">
        <v>45</v>
      </c>
      <c r="X559" s="29">
        <v>130000</v>
      </c>
      <c r="Y559" s="24" t="s">
        <v>215</v>
      </c>
      <c r="Z559" s="24"/>
      <c r="AA559" s="78"/>
      <c r="AB559" s="351"/>
      <c r="AC559" s="7">
        <v>45794</v>
      </c>
      <c r="AD559" s="38"/>
      <c r="AE559" s="71">
        <v>45798</v>
      </c>
      <c r="AF559" s="15"/>
      <c r="AG559" s="15"/>
      <c r="AH559" s="15"/>
      <c r="AI559" s="15"/>
      <c r="AJ559" s="15"/>
      <c r="AK559" s="15"/>
      <c r="AL559" s="15"/>
      <c r="AM559" s="15"/>
      <c r="AN559" s="15"/>
      <c r="AO559" s="15"/>
      <c r="AP559" s="15"/>
      <c r="AQ559" s="15"/>
      <c r="AR559" s="15"/>
      <c r="AS559" s="15"/>
      <c r="AT559" s="15"/>
      <c r="AU559" s="15"/>
      <c r="AV559" s="15"/>
      <c r="AW559" s="15"/>
      <c r="AX559" s="15"/>
      <c r="AY559" s="15"/>
    </row>
    <row r="560" spans="1:51" s="15" customFormat="1" ht="24.95" hidden="1" customHeight="1" x14ac:dyDescent="0.25">
      <c r="A560" s="209" t="s">
        <v>506</v>
      </c>
      <c r="B560" s="6">
        <v>27678</v>
      </c>
      <c r="C560" s="5">
        <v>55000</v>
      </c>
      <c r="D560" s="6" t="s">
        <v>33</v>
      </c>
      <c r="E560" s="6" t="s">
        <v>1355</v>
      </c>
      <c r="F560" s="6" t="s">
        <v>1356</v>
      </c>
      <c r="G560" s="6" t="s">
        <v>36</v>
      </c>
      <c r="H560" s="6" t="s">
        <v>37</v>
      </c>
      <c r="I560" s="6" t="s">
        <v>412</v>
      </c>
      <c r="J560" s="6" t="s">
        <v>413</v>
      </c>
      <c r="K560" s="6"/>
      <c r="L560" s="7">
        <v>45720</v>
      </c>
      <c r="M560" s="7" t="s">
        <v>414</v>
      </c>
      <c r="N560" s="73" t="s">
        <v>40</v>
      </c>
      <c r="O560" s="13">
        <f>5375+62.5+400</f>
        <v>5837.5</v>
      </c>
      <c r="P560" s="6" t="s">
        <v>41</v>
      </c>
      <c r="Q560" s="19">
        <f>+O560/C560</f>
        <v>0.10613636363636364</v>
      </c>
      <c r="R560" s="65">
        <v>45778</v>
      </c>
      <c r="S560" s="41" t="s">
        <v>65</v>
      </c>
      <c r="T560" s="7">
        <v>45793</v>
      </c>
      <c r="U560" s="17" t="s">
        <v>167</v>
      </c>
      <c r="V560" s="7" t="s">
        <v>1354</v>
      </c>
      <c r="W560" s="11" t="s">
        <v>67</v>
      </c>
      <c r="X560" s="608">
        <v>75060</v>
      </c>
      <c r="Y560" s="11" t="s">
        <v>68</v>
      </c>
      <c r="Z560" s="11"/>
      <c r="AA560" s="7">
        <v>45791</v>
      </c>
      <c r="AB560" s="71">
        <v>45791</v>
      </c>
      <c r="AC560" s="7">
        <v>45792</v>
      </c>
      <c r="AD560" s="7"/>
      <c r="AE560" s="7">
        <v>45797</v>
      </c>
    </row>
    <row r="561" spans="1:52" s="2" customFormat="1" ht="21.75" hidden="1" customHeight="1" x14ac:dyDescent="0.25">
      <c r="A561" s="209" t="s">
        <v>424</v>
      </c>
      <c r="B561" s="6">
        <v>29541</v>
      </c>
      <c r="C561" s="5">
        <v>40260</v>
      </c>
      <c r="D561" s="6" t="s">
        <v>105</v>
      </c>
      <c r="E561" s="6" t="s">
        <v>1357</v>
      </c>
      <c r="F561" s="6" t="s">
        <v>1358</v>
      </c>
      <c r="G561" s="6" t="s">
        <v>36</v>
      </c>
      <c r="H561" s="6" t="s">
        <v>109</v>
      </c>
      <c r="I561" s="6" t="s">
        <v>52</v>
      </c>
      <c r="J561" s="6" t="s">
        <v>171</v>
      </c>
      <c r="K561" s="6"/>
      <c r="L561" s="7">
        <v>45761</v>
      </c>
      <c r="M561" s="7"/>
      <c r="N561" s="73" t="s">
        <v>40</v>
      </c>
      <c r="O561" s="13"/>
      <c r="P561" s="6" t="s">
        <v>80</v>
      </c>
      <c r="Q561" s="41">
        <f>+O561/C561</f>
        <v>0</v>
      </c>
      <c r="R561" s="219"/>
      <c r="S561" s="36"/>
      <c r="T561" s="112">
        <v>45790</v>
      </c>
      <c r="U561" s="17" t="s">
        <v>43</v>
      </c>
      <c r="V561" s="7" t="s">
        <v>1354</v>
      </c>
      <c r="W561" s="11" t="s">
        <v>45</v>
      </c>
      <c r="X561" s="608">
        <v>24615</v>
      </c>
      <c r="Y561" s="11" t="s">
        <v>46</v>
      </c>
      <c r="Z561" s="745"/>
      <c r="AA561" s="155"/>
      <c r="AB561" s="7">
        <v>45793</v>
      </c>
      <c r="AC561" s="7">
        <v>45791</v>
      </c>
      <c r="AD561" s="38"/>
      <c r="AE561" s="71">
        <v>45801</v>
      </c>
      <c r="AF561" s="15"/>
      <c r="AG561" s="15"/>
      <c r="AH561" s="15"/>
      <c r="AI561" s="15"/>
    </row>
    <row r="562" spans="1:52" s="15" customFormat="1" ht="24.95" hidden="1" customHeight="1" x14ac:dyDescent="0.25">
      <c r="A562" s="16" t="s">
        <v>453</v>
      </c>
      <c r="B562" s="6">
        <v>27805</v>
      </c>
      <c r="C562" s="5">
        <v>58000</v>
      </c>
      <c r="D562" s="6" t="s">
        <v>48</v>
      </c>
      <c r="E562" s="6" t="s">
        <v>190</v>
      </c>
      <c r="F562" s="6" t="s">
        <v>1359</v>
      </c>
      <c r="G562" s="6" t="s">
        <v>687</v>
      </c>
      <c r="H562" s="4" t="s">
        <v>109</v>
      </c>
      <c r="I562" s="4" t="s">
        <v>52</v>
      </c>
      <c r="J562" s="4" t="s">
        <v>75</v>
      </c>
      <c r="K562" s="4"/>
      <c r="L562" s="7">
        <v>45767</v>
      </c>
      <c r="M562" s="7"/>
      <c r="N562" s="73" t="s">
        <v>40</v>
      </c>
      <c r="O562" s="13"/>
      <c r="P562" s="6"/>
      <c r="Q562" s="19"/>
      <c r="R562" s="65">
        <v>45787</v>
      </c>
      <c r="S562" s="41" t="s">
        <v>65</v>
      </c>
      <c r="T562" s="71">
        <v>45794</v>
      </c>
      <c r="U562" s="46" t="s">
        <v>178</v>
      </c>
      <c r="V562" s="7" t="s">
        <v>1354</v>
      </c>
      <c r="W562" s="11" t="s">
        <v>67</v>
      </c>
      <c r="X562" s="608">
        <f>49970-9994</f>
        <v>39976</v>
      </c>
      <c r="Y562" s="11" t="s">
        <v>46</v>
      </c>
      <c r="Z562" s="171"/>
      <c r="AA562" s="351"/>
      <c r="AB562" s="7">
        <v>45793</v>
      </c>
      <c r="AC562" s="7">
        <v>45794</v>
      </c>
      <c r="AD562" s="38"/>
      <c r="AE562" s="71">
        <v>45801</v>
      </c>
    </row>
    <row r="563" spans="1:52" s="30" customFormat="1" ht="24.95" hidden="1" customHeight="1" x14ac:dyDescent="0.25">
      <c r="A563" s="21" t="s">
        <v>532</v>
      </c>
      <c r="B563" s="22">
        <v>30017</v>
      </c>
      <c r="C563" s="23">
        <v>20000</v>
      </c>
      <c r="D563" s="22">
        <v>10</v>
      </c>
      <c r="E563" s="22" t="s">
        <v>533</v>
      </c>
      <c r="F563" s="22"/>
      <c r="G563" s="22"/>
      <c r="H563" s="22" t="s">
        <v>37</v>
      </c>
      <c r="I563" s="22" t="s">
        <v>729</v>
      </c>
      <c r="J563" s="22" t="s">
        <v>62</v>
      </c>
      <c r="K563" s="22"/>
      <c r="L563" s="25">
        <v>45791</v>
      </c>
      <c r="M563" s="25"/>
      <c r="N563" s="609" t="s">
        <v>103</v>
      </c>
      <c r="O563" s="26">
        <v>3650</v>
      </c>
      <c r="P563" s="22" t="s">
        <v>80</v>
      </c>
      <c r="Q563" s="27">
        <f>+O563/C563</f>
        <v>0.1825</v>
      </c>
      <c r="R563" s="244"/>
      <c r="S563" s="27"/>
      <c r="T563" s="55"/>
      <c r="U563" s="245" t="s">
        <v>66</v>
      </c>
      <c r="V563" s="25" t="s">
        <v>1354</v>
      </c>
      <c r="W563" s="55" t="s">
        <v>45</v>
      </c>
      <c r="X563" s="29">
        <v>39000</v>
      </c>
      <c r="Y563" s="24" t="s">
        <v>215</v>
      </c>
      <c r="Z563" s="24"/>
      <c r="AA563" s="78"/>
      <c r="AB563" s="78"/>
      <c r="AC563" s="7">
        <v>45795</v>
      </c>
      <c r="AD563" s="48"/>
      <c r="AE563" s="71">
        <v>45800</v>
      </c>
      <c r="AF563" s="15"/>
      <c r="AG563" s="15"/>
      <c r="AH563" s="15"/>
      <c r="AI563" s="15"/>
      <c r="AJ563" s="15"/>
      <c r="AK563" s="15"/>
      <c r="AL563" s="15"/>
      <c r="AM563" s="15"/>
      <c r="AN563" s="15"/>
      <c r="AO563" s="15"/>
      <c r="AP563" s="15"/>
      <c r="AQ563" s="15"/>
      <c r="AR563" s="15"/>
      <c r="AS563" s="15"/>
      <c r="AT563" s="15"/>
      <c r="AU563" s="15"/>
      <c r="AV563" s="15"/>
      <c r="AW563" s="15"/>
      <c r="AX563" s="15"/>
      <c r="AY563" s="15"/>
    </row>
    <row r="564" spans="1:52" s="15" customFormat="1" ht="24.95" hidden="1" customHeight="1" x14ac:dyDescent="0.25">
      <c r="A564" s="16" t="s">
        <v>1360</v>
      </c>
      <c r="B564" s="167">
        <v>29304</v>
      </c>
      <c r="C564" s="5">
        <v>20900</v>
      </c>
      <c r="D564" s="167" t="s">
        <v>105</v>
      </c>
      <c r="E564" s="167" t="s">
        <v>1361</v>
      </c>
      <c r="F564" s="167" t="s">
        <v>1362</v>
      </c>
      <c r="G564" s="167" t="s">
        <v>36</v>
      </c>
      <c r="H564" s="169" t="s">
        <v>51</v>
      </c>
      <c r="I564" s="169" t="s">
        <v>52</v>
      </c>
      <c r="J564" s="169" t="s">
        <v>75</v>
      </c>
      <c r="K564" s="169"/>
      <c r="L564" s="7">
        <v>45748</v>
      </c>
      <c r="M564" s="64"/>
      <c r="N564" s="73" t="s">
        <v>40</v>
      </c>
      <c r="O564" s="177"/>
      <c r="P564" s="6"/>
      <c r="Q564" s="19"/>
      <c r="R564" s="65">
        <v>45784</v>
      </c>
      <c r="S564" s="41" t="s">
        <v>65</v>
      </c>
      <c r="T564" s="71">
        <v>45795</v>
      </c>
      <c r="U564" s="46" t="s">
        <v>76</v>
      </c>
      <c r="V564" s="7" t="s">
        <v>1354</v>
      </c>
      <c r="W564" s="11" t="s">
        <v>67</v>
      </c>
      <c r="X564" s="608">
        <v>24795</v>
      </c>
      <c r="Y564" s="11" t="s">
        <v>68</v>
      </c>
      <c r="Z564" s="11"/>
      <c r="AA564" s="7">
        <v>45797</v>
      </c>
      <c r="AB564" s="7">
        <v>45797</v>
      </c>
      <c r="AC564" s="7">
        <v>45795</v>
      </c>
      <c r="AD564" s="38"/>
      <c r="AE564" s="71">
        <v>45801</v>
      </c>
    </row>
    <row r="565" spans="1:52" s="2" customFormat="1" ht="24.95" hidden="1" customHeight="1" x14ac:dyDescent="0.25">
      <c r="A565" s="209" t="s">
        <v>615</v>
      </c>
      <c r="B565" s="6">
        <v>27308</v>
      </c>
      <c r="C565" s="390">
        <v>44000</v>
      </c>
      <c r="D565" s="6" t="s">
        <v>105</v>
      </c>
      <c r="E565" s="6" t="s">
        <v>616</v>
      </c>
      <c r="F565" s="4" t="s">
        <v>1363</v>
      </c>
      <c r="G565" s="159" t="s">
        <v>130</v>
      </c>
      <c r="H565" s="6" t="s">
        <v>51</v>
      </c>
      <c r="I565" s="159" t="s">
        <v>52</v>
      </c>
      <c r="J565" s="159" t="s">
        <v>156</v>
      </c>
      <c r="K565" s="159"/>
      <c r="L565" s="7">
        <v>45715</v>
      </c>
      <c r="M565" s="3"/>
      <c r="N565" s="73" t="s">
        <v>40</v>
      </c>
      <c r="O565" s="177">
        <v>575</v>
      </c>
      <c r="P565" s="159" t="s">
        <v>80</v>
      </c>
      <c r="Q565" s="19">
        <f>+O565/C565</f>
        <v>1.3068181818181817E-2</v>
      </c>
      <c r="R565" s="7">
        <v>45749</v>
      </c>
      <c r="S565" s="41" t="s">
        <v>658</v>
      </c>
      <c r="T565" s="7">
        <v>45797</v>
      </c>
      <c r="U565" s="46" t="s">
        <v>76</v>
      </c>
      <c r="V565" s="7" t="s">
        <v>1354</v>
      </c>
      <c r="W565" s="11" t="s">
        <v>67</v>
      </c>
      <c r="X565" s="608">
        <v>50000</v>
      </c>
      <c r="Y565" s="11" t="s">
        <v>46</v>
      </c>
      <c r="Z565" s="11"/>
      <c r="AA565" s="78"/>
      <c r="AB565" s="7">
        <v>45750</v>
      </c>
      <c r="AC565" s="7">
        <v>45798</v>
      </c>
      <c r="AD565" s="45"/>
      <c r="AE565" s="71">
        <v>45806</v>
      </c>
      <c r="AF565" s="15"/>
      <c r="AG565" s="15"/>
      <c r="AH565" s="15"/>
      <c r="AI565" s="15"/>
      <c r="AJ565" s="15"/>
      <c r="AK565" s="15"/>
      <c r="AL565" s="15"/>
      <c r="AM565" s="15"/>
      <c r="AN565" s="15"/>
      <c r="AO565" s="15"/>
      <c r="AP565" s="15"/>
      <c r="AQ565" s="15"/>
      <c r="AR565" s="15"/>
      <c r="AS565" s="15"/>
      <c r="AT565" s="15"/>
      <c r="AU565" s="15"/>
    </row>
    <row r="566" spans="1:52" s="30" customFormat="1" ht="24.95" hidden="1" customHeight="1" x14ac:dyDescent="0.25">
      <c r="A566" s="109" t="s">
        <v>320</v>
      </c>
      <c r="B566" s="22">
        <v>27982</v>
      </c>
      <c r="C566" s="23">
        <v>36900</v>
      </c>
      <c r="D566" s="22" t="s">
        <v>249</v>
      </c>
      <c r="E566" s="22" t="s">
        <v>321</v>
      </c>
      <c r="F566" s="22"/>
      <c r="G566" s="22"/>
      <c r="H566" s="22" t="s">
        <v>164</v>
      </c>
      <c r="I566" s="22" t="s">
        <v>266</v>
      </c>
      <c r="J566" s="22" t="s">
        <v>62</v>
      </c>
      <c r="K566" s="22"/>
      <c r="L566" s="255">
        <v>45796</v>
      </c>
      <c r="M566" s="25"/>
      <c r="N566" s="22" t="s">
        <v>441</v>
      </c>
      <c r="O566" s="26">
        <v>2385</v>
      </c>
      <c r="P566" s="22" t="s">
        <v>80</v>
      </c>
      <c r="Q566" s="655">
        <f>+O566/C566</f>
        <v>6.4634146341463417E-2</v>
      </c>
      <c r="R566" s="244"/>
      <c r="S566" s="315"/>
      <c r="T566" s="55"/>
      <c r="U566" s="245" t="s">
        <v>66</v>
      </c>
      <c r="V566" s="25" t="s">
        <v>1354</v>
      </c>
      <c r="W566" s="55" t="s">
        <v>45</v>
      </c>
      <c r="X566" s="29">
        <v>55440</v>
      </c>
      <c r="Y566" s="24" t="s">
        <v>215</v>
      </c>
      <c r="Z566" s="24"/>
      <c r="AA566" s="78"/>
      <c r="AB566" s="78"/>
      <c r="AC566" s="7">
        <v>45798</v>
      </c>
      <c r="AD566" s="38"/>
      <c r="AE566" s="71">
        <v>45799</v>
      </c>
      <c r="AF566" s="15"/>
      <c r="AG566" s="15"/>
      <c r="AH566" s="15"/>
      <c r="AI566" s="15"/>
      <c r="AJ566" s="15"/>
      <c r="AK566" s="15"/>
      <c r="AL566" s="15"/>
      <c r="AM566" s="15"/>
      <c r="AN566" s="15"/>
      <c r="AO566" s="15"/>
      <c r="AP566" s="15"/>
      <c r="AQ566" s="15"/>
      <c r="AR566" s="15"/>
      <c r="AS566" s="15"/>
      <c r="AT566" s="15"/>
      <c r="AU566" s="15"/>
      <c r="AV566" s="15"/>
      <c r="AW566" s="15"/>
      <c r="AX566" s="15"/>
      <c r="AY566" s="15"/>
    </row>
    <row r="567" spans="1:52" s="15" customFormat="1" ht="24.95" hidden="1" customHeight="1" x14ac:dyDescent="0.25">
      <c r="A567" s="209" t="s">
        <v>1364</v>
      </c>
      <c r="B567" s="6">
        <v>29676</v>
      </c>
      <c r="C567" s="5">
        <v>48400</v>
      </c>
      <c r="D567" s="6" t="s">
        <v>33</v>
      </c>
      <c r="E567" s="6" t="s">
        <v>128</v>
      </c>
      <c r="F567" s="6" t="s">
        <v>1365</v>
      </c>
      <c r="G567" s="6" t="s">
        <v>108</v>
      </c>
      <c r="H567" s="4" t="s">
        <v>592</v>
      </c>
      <c r="I567" s="4" t="s">
        <v>52</v>
      </c>
      <c r="J567" s="4"/>
      <c r="K567" s="4"/>
      <c r="L567" s="7">
        <v>45757</v>
      </c>
      <c r="M567" s="7"/>
      <c r="N567" s="73" t="s">
        <v>40</v>
      </c>
      <c r="O567" s="13"/>
      <c r="P567" s="6"/>
      <c r="Q567" s="19"/>
      <c r="R567" s="7"/>
      <c r="S567" s="41"/>
      <c r="T567" s="7">
        <v>45784</v>
      </c>
      <c r="U567" s="46" t="s">
        <v>43</v>
      </c>
      <c r="V567" s="7" t="s">
        <v>1354</v>
      </c>
      <c r="W567" s="11" t="s">
        <v>503</v>
      </c>
      <c r="X567" s="608">
        <f>143550-71775</f>
        <v>71775</v>
      </c>
      <c r="Y567" s="11" t="s">
        <v>46</v>
      </c>
      <c r="Z567" s="11"/>
      <c r="AA567" s="78"/>
      <c r="AB567" s="78"/>
      <c r="AC567" s="78"/>
      <c r="AD567" s="38"/>
      <c r="AE567" s="71">
        <v>45806</v>
      </c>
    </row>
    <row r="568" spans="1:52" s="3" customFormat="1" ht="24.95" hidden="1" customHeight="1" x14ac:dyDescent="0.25">
      <c r="A568" s="16" t="s">
        <v>463</v>
      </c>
      <c r="B568" s="4">
        <v>29765</v>
      </c>
      <c r="C568" s="5">
        <v>50000</v>
      </c>
      <c r="D568" s="6" t="s">
        <v>48</v>
      </c>
      <c r="E568" s="254" t="s">
        <v>1223</v>
      </c>
      <c r="F568" s="159" t="s">
        <v>1366</v>
      </c>
      <c r="G568" s="6" t="s">
        <v>687</v>
      </c>
      <c r="H568" s="159" t="s">
        <v>51</v>
      </c>
      <c r="I568" s="159" t="s">
        <v>52</v>
      </c>
      <c r="J568" s="159"/>
      <c r="K568" s="159"/>
      <c r="L568" s="7">
        <v>45771</v>
      </c>
      <c r="M568" s="64"/>
      <c r="N568" s="73" t="s">
        <v>40</v>
      </c>
      <c r="O568" s="422"/>
      <c r="P568" s="6"/>
      <c r="S568" s="156"/>
      <c r="T568" s="71">
        <v>45800</v>
      </c>
      <c r="U568" s="46" t="s">
        <v>43</v>
      </c>
      <c r="V568" s="7" t="s">
        <v>1367</v>
      </c>
      <c r="W568" s="11" t="s">
        <v>67</v>
      </c>
      <c r="X568" s="608">
        <v>63277</v>
      </c>
      <c r="Y568" s="11" t="s">
        <v>46</v>
      </c>
      <c r="Z568" s="11"/>
      <c r="AA568" s="78"/>
      <c r="AB568" s="7">
        <v>45800</v>
      </c>
      <c r="AC568" s="7"/>
      <c r="AE568" s="71">
        <v>45806</v>
      </c>
      <c r="AF568" s="208"/>
      <c r="AG568" s="208"/>
      <c r="AH568" s="208"/>
      <c r="AI568" s="208"/>
      <c r="AJ568" s="208"/>
      <c r="AK568" s="208"/>
      <c r="AL568" s="208"/>
      <c r="AM568" s="208"/>
      <c r="AN568" s="208"/>
      <c r="AO568" s="208"/>
      <c r="AP568" s="208"/>
      <c r="AQ568" s="208"/>
      <c r="AR568" s="208"/>
      <c r="AS568" s="208"/>
      <c r="AT568" s="208"/>
      <c r="AU568" s="208"/>
      <c r="AV568" s="208"/>
    </row>
    <row r="569" spans="1:52" s="15" customFormat="1" ht="23.25" hidden="1" customHeight="1" x14ac:dyDescent="0.25">
      <c r="A569" s="16" t="s">
        <v>1368</v>
      </c>
      <c r="B569" s="6">
        <v>29489</v>
      </c>
      <c r="C569" s="5">
        <v>35000</v>
      </c>
      <c r="D569" s="6" t="s">
        <v>105</v>
      </c>
      <c r="E569" s="6" t="s">
        <v>1369</v>
      </c>
      <c r="F569" s="6" t="s">
        <v>1370</v>
      </c>
      <c r="G569" s="6" t="s">
        <v>36</v>
      </c>
      <c r="H569" s="6" t="s">
        <v>37</v>
      </c>
      <c r="I569" s="6" t="s">
        <v>281</v>
      </c>
      <c r="J569" s="6" t="s">
        <v>120</v>
      </c>
      <c r="K569" s="6"/>
      <c r="L569" s="7">
        <v>45740</v>
      </c>
      <c r="M569" s="7" t="s">
        <v>487</v>
      </c>
      <c r="N569" s="73" t="s">
        <v>40</v>
      </c>
      <c r="O569" s="13">
        <f>3160+400</f>
        <v>3560</v>
      </c>
      <c r="P569" s="6" t="s">
        <v>41</v>
      </c>
      <c r="Q569" s="19"/>
      <c r="R569" s="7"/>
      <c r="S569" s="41"/>
      <c r="T569" s="7">
        <v>45790</v>
      </c>
      <c r="U569" s="17" t="s">
        <v>43</v>
      </c>
      <c r="V569" s="7" t="s">
        <v>1367</v>
      </c>
      <c r="W569" s="11" t="s">
        <v>67</v>
      </c>
      <c r="X569" s="611">
        <v>126700</v>
      </c>
      <c r="Y569" s="11" t="s">
        <v>46</v>
      </c>
      <c r="Z569" s="171"/>
      <c r="AA569" s="351"/>
      <c r="AB569" s="71">
        <v>45789</v>
      </c>
      <c r="AC569" s="7">
        <v>45799</v>
      </c>
      <c r="AD569" s="38"/>
      <c r="AE569" s="71">
        <v>45790</v>
      </c>
    </row>
    <row r="570" spans="1:52" s="30" customFormat="1" ht="24.95" hidden="1" customHeight="1" x14ac:dyDescent="0.25">
      <c r="A570" s="21" t="s">
        <v>313</v>
      </c>
      <c r="B570" s="22">
        <v>27001</v>
      </c>
      <c r="C570" s="260">
        <v>41800</v>
      </c>
      <c r="D570" s="256" t="s">
        <v>249</v>
      </c>
      <c r="E570" s="256" t="s">
        <v>314</v>
      </c>
      <c r="F570" s="22"/>
      <c r="G570" s="22"/>
      <c r="H570" s="256" t="s">
        <v>315</v>
      </c>
      <c r="I570" s="22" t="s">
        <v>285</v>
      </c>
      <c r="J570" s="22" t="s">
        <v>62</v>
      </c>
      <c r="K570" s="22"/>
      <c r="L570" s="25">
        <v>45799</v>
      </c>
      <c r="M570" s="25"/>
      <c r="N570" s="609" t="s">
        <v>403</v>
      </c>
      <c r="O570" s="26">
        <v>3800</v>
      </c>
      <c r="P570" s="22" t="s">
        <v>80</v>
      </c>
      <c r="Q570" s="27"/>
      <c r="R570" s="217"/>
      <c r="S570" s="27"/>
      <c r="T570" s="24"/>
      <c r="U570" s="245" t="s">
        <v>66</v>
      </c>
      <c r="V570" s="25" t="s">
        <v>1367</v>
      </c>
      <c r="W570" s="24" t="s">
        <v>503</v>
      </c>
      <c r="X570" s="29">
        <v>30096</v>
      </c>
      <c r="Y570" s="24" t="s">
        <v>215</v>
      </c>
      <c r="Z570" s="261"/>
      <c r="AA570" s="351"/>
      <c r="AB570" s="351"/>
      <c r="AC570" s="7">
        <v>45801</v>
      </c>
      <c r="AD570" s="486" t="s">
        <v>1189</v>
      </c>
      <c r="AE570" s="71">
        <v>45804</v>
      </c>
      <c r="AF570" s="15"/>
      <c r="AG570" s="15"/>
      <c r="AH570" s="15"/>
      <c r="AI570" s="15"/>
      <c r="AJ570" s="15"/>
      <c r="AK570" s="15"/>
      <c r="AL570" s="15"/>
      <c r="AM570" s="15"/>
      <c r="AN570" s="15"/>
      <c r="AO570" s="15"/>
      <c r="AP570" s="15"/>
      <c r="AQ570" s="15"/>
      <c r="AR570" s="15"/>
      <c r="AS570" s="15"/>
      <c r="AT570" s="15"/>
      <c r="AU570" s="15"/>
      <c r="AV570" s="15"/>
      <c r="AW570" s="15"/>
      <c r="AX570" s="15"/>
      <c r="AY570" s="15"/>
      <c r="AZ570" s="15"/>
    </row>
    <row r="571" spans="1:52" s="3" customFormat="1" ht="23.25" hidden="1" customHeight="1" x14ac:dyDescent="0.25">
      <c r="A571" s="209" t="s">
        <v>1371</v>
      </c>
      <c r="B571" s="4">
        <v>29820</v>
      </c>
      <c r="C571" s="5">
        <v>44000</v>
      </c>
      <c r="D571" s="6" t="s">
        <v>48</v>
      </c>
      <c r="E571" s="254" t="s">
        <v>1372</v>
      </c>
      <c r="F571" s="6" t="s">
        <v>1373</v>
      </c>
      <c r="G571" s="159" t="s">
        <v>36</v>
      </c>
      <c r="H571" s="159" t="s">
        <v>37</v>
      </c>
      <c r="I571" s="6" t="s">
        <v>97</v>
      </c>
      <c r="J571" s="6" t="s">
        <v>98</v>
      </c>
      <c r="K571" s="6"/>
      <c r="L571" s="7">
        <v>45774</v>
      </c>
      <c r="M571" s="162" t="s">
        <v>99</v>
      </c>
      <c r="N571" s="73" t="s">
        <v>40</v>
      </c>
      <c r="O571" s="422">
        <f>3315+35+400</f>
        <v>3750</v>
      </c>
      <c r="P571" s="6" t="s">
        <v>41</v>
      </c>
      <c r="S571" s="156"/>
      <c r="T571" s="71">
        <v>45798</v>
      </c>
      <c r="U571" s="46" t="s">
        <v>43</v>
      </c>
      <c r="V571" s="7" t="s">
        <v>1367</v>
      </c>
      <c r="W571" s="11" t="s">
        <v>67</v>
      </c>
      <c r="X571" s="608">
        <f>12720-3180</f>
        <v>9540</v>
      </c>
      <c r="Y571" s="11" t="s">
        <v>46</v>
      </c>
      <c r="Z571" s="11"/>
      <c r="AA571" s="78"/>
      <c r="AB571" s="7">
        <v>45805</v>
      </c>
      <c r="AC571" s="7">
        <v>45800</v>
      </c>
      <c r="AE571" s="71">
        <v>45806</v>
      </c>
      <c r="AF571" s="208"/>
      <c r="AG571" s="208"/>
      <c r="AH571" s="208"/>
      <c r="AI571" s="208"/>
      <c r="AJ571" s="208"/>
      <c r="AK571" s="208"/>
      <c r="AL571" s="208"/>
      <c r="AM571" s="208"/>
      <c r="AN571" s="208"/>
      <c r="AO571" s="208"/>
      <c r="AP571" s="208"/>
      <c r="AQ571" s="208"/>
      <c r="AR571" s="208"/>
      <c r="AS571" s="208"/>
      <c r="AT571" s="208"/>
      <c r="AU571" s="208"/>
      <c r="AV571" s="208"/>
    </row>
    <row r="572" spans="1:52" s="15" customFormat="1" ht="24.95" hidden="1" customHeight="1" x14ac:dyDescent="0.25">
      <c r="A572" s="16" t="s">
        <v>257</v>
      </c>
      <c r="B572" s="6">
        <v>28448</v>
      </c>
      <c r="C572" s="5">
        <v>44000</v>
      </c>
      <c r="D572" s="6" t="s">
        <v>105</v>
      </c>
      <c r="E572" s="6" t="s">
        <v>258</v>
      </c>
      <c r="F572" s="4" t="s">
        <v>1374</v>
      </c>
      <c r="G572" s="6" t="s">
        <v>687</v>
      </c>
      <c r="H572" s="6" t="s">
        <v>37</v>
      </c>
      <c r="I572" s="6" t="s">
        <v>97</v>
      </c>
      <c r="J572" s="6" t="s">
        <v>98</v>
      </c>
      <c r="K572" s="6"/>
      <c r="L572" s="7">
        <v>45752</v>
      </c>
      <c r="M572" s="7" t="s">
        <v>1375</v>
      </c>
      <c r="N572" s="73" t="s">
        <v>40</v>
      </c>
      <c r="O572" s="13">
        <f>3160+400</f>
        <v>3560</v>
      </c>
      <c r="P572" s="6" t="s">
        <v>41</v>
      </c>
      <c r="Q572" s="19"/>
      <c r="R572" s="7"/>
      <c r="S572" s="41"/>
      <c r="T572" s="71">
        <v>45806</v>
      </c>
      <c r="U572" s="17" t="s">
        <v>43</v>
      </c>
      <c r="V572" s="7" t="s">
        <v>1367</v>
      </c>
      <c r="W572" s="11" t="s">
        <v>67</v>
      </c>
      <c r="X572" s="608">
        <v>78000</v>
      </c>
      <c r="Y572" s="11" t="s">
        <v>68</v>
      </c>
      <c r="Z572" s="11"/>
      <c r="AA572" s="71">
        <v>45800</v>
      </c>
      <c r="AB572" s="7">
        <v>45805</v>
      </c>
      <c r="AC572" s="7">
        <v>45805</v>
      </c>
      <c r="AD572" s="38"/>
      <c r="AE572" s="71">
        <v>45806</v>
      </c>
    </row>
    <row r="573" spans="1:52" s="30" customFormat="1" ht="23.1" hidden="1" customHeight="1" x14ac:dyDescent="0.25">
      <c r="A573" s="210" t="s">
        <v>200</v>
      </c>
      <c r="B573" s="31">
        <v>29582</v>
      </c>
      <c r="C573" s="32">
        <v>57500</v>
      </c>
      <c r="D573" s="31" t="s">
        <v>33</v>
      </c>
      <c r="E573" s="31" t="s">
        <v>201</v>
      </c>
      <c r="F573" s="619" t="s">
        <v>1376</v>
      </c>
      <c r="G573" s="31" t="s">
        <v>345</v>
      </c>
      <c r="H573" s="31" t="s">
        <v>51</v>
      </c>
      <c r="I573" s="31" t="s">
        <v>281</v>
      </c>
      <c r="J573" s="31" t="s">
        <v>120</v>
      </c>
      <c r="K573" s="31"/>
      <c r="L573" s="34">
        <v>45765</v>
      </c>
      <c r="M573" s="563"/>
      <c r="N573" s="564" t="s">
        <v>40</v>
      </c>
      <c r="O573" s="565">
        <v>575</v>
      </c>
      <c r="P573" s="31" t="s">
        <v>80</v>
      </c>
      <c r="Q573" s="258">
        <f>+O573/C573</f>
        <v>0.01</v>
      </c>
      <c r="R573" s="34">
        <v>45795</v>
      </c>
      <c r="S573" s="258" t="s">
        <v>65</v>
      </c>
      <c r="T573" s="34">
        <v>45810</v>
      </c>
      <c r="U573" s="100" t="s">
        <v>76</v>
      </c>
      <c r="V573" s="34" t="s">
        <v>1377</v>
      </c>
      <c r="W573" s="33" t="s">
        <v>1325</v>
      </c>
      <c r="X573" s="50">
        <v>192625</v>
      </c>
      <c r="Y573" s="33" t="s">
        <v>215</v>
      </c>
      <c r="Z573" s="748"/>
      <c r="AA573" s="155"/>
      <c r="AB573" s="7">
        <v>45793</v>
      </c>
      <c r="AC573" s="7">
        <v>45807</v>
      </c>
      <c r="AD573" s="38"/>
      <c r="AE573" s="71">
        <v>45817</v>
      </c>
      <c r="AF573" s="15"/>
      <c r="AG573" s="15"/>
      <c r="AH573" s="15"/>
      <c r="AI573" s="15"/>
      <c r="AJ573" s="15"/>
      <c r="AK573" s="15"/>
      <c r="AL573" s="15"/>
      <c r="AM573" s="15"/>
      <c r="AN573" s="15"/>
      <c r="AO573" s="15"/>
      <c r="AP573" s="15"/>
      <c r="AQ573" s="15"/>
      <c r="AR573" s="15"/>
      <c r="AS573" s="15"/>
      <c r="AT573" s="15"/>
      <c r="AU573" s="15"/>
      <c r="AV573" s="15"/>
      <c r="AW573" s="15"/>
      <c r="AX573" s="15"/>
      <c r="AY573" s="15"/>
      <c r="AZ573" s="15"/>
    </row>
    <row r="574" spans="1:52" s="15" customFormat="1" ht="24.95" hidden="1" customHeight="1" x14ac:dyDescent="0.25">
      <c r="A574" s="16" t="s">
        <v>424</v>
      </c>
      <c r="B574" s="6">
        <v>29220</v>
      </c>
      <c r="C574" s="5">
        <v>45100</v>
      </c>
      <c r="D574" s="6" t="s">
        <v>105</v>
      </c>
      <c r="E574" s="6" t="s">
        <v>973</v>
      </c>
      <c r="F574" s="6" t="s">
        <v>1378</v>
      </c>
      <c r="G574" s="6" t="s">
        <v>108</v>
      </c>
      <c r="H574" s="4" t="s">
        <v>109</v>
      </c>
      <c r="I574" s="169" t="s">
        <v>52</v>
      </c>
      <c r="J574" s="4" t="s">
        <v>171</v>
      </c>
      <c r="K574" s="4"/>
      <c r="L574" s="7">
        <v>45737</v>
      </c>
      <c r="M574" s="7"/>
      <c r="N574" s="73" t="s">
        <v>40</v>
      </c>
      <c r="O574" s="13">
        <v>575</v>
      </c>
      <c r="P574" s="6" t="s">
        <v>80</v>
      </c>
      <c r="Q574" s="41">
        <f>+O574/C574</f>
        <v>1.2749445676274944E-2</v>
      </c>
      <c r="R574" s="65"/>
      <c r="S574" s="41"/>
      <c r="T574" s="7">
        <v>45810</v>
      </c>
      <c r="U574" s="46" t="s">
        <v>43</v>
      </c>
      <c r="V574" s="7" t="s">
        <v>1377</v>
      </c>
      <c r="W574" s="11" t="s">
        <v>45</v>
      </c>
      <c r="X574" s="236">
        <v>41000</v>
      </c>
      <c r="Y574" s="171" t="s">
        <v>46</v>
      </c>
      <c r="Z574" s="747"/>
      <c r="AA574" s="155"/>
      <c r="AB574" s="7">
        <v>45811</v>
      </c>
      <c r="AC574" s="7">
        <v>45811</v>
      </c>
      <c r="AD574" s="38"/>
      <c r="AE574" s="71">
        <v>45817</v>
      </c>
    </row>
    <row r="575" spans="1:52" s="30" customFormat="1" ht="24.95" hidden="1" customHeight="1" x14ac:dyDescent="0.25">
      <c r="A575" s="109" t="s">
        <v>555</v>
      </c>
      <c r="B575" s="22">
        <v>30111</v>
      </c>
      <c r="C575" s="260">
        <v>10800</v>
      </c>
      <c r="D575" s="256">
        <v>6</v>
      </c>
      <c r="E575" s="256" t="s">
        <v>1379</v>
      </c>
      <c r="F575" s="22"/>
      <c r="G575" s="22"/>
      <c r="H575" s="256" t="s">
        <v>60</v>
      </c>
      <c r="I575" s="22" t="s">
        <v>213</v>
      </c>
      <c r="J575" s="22"/>
      <c r="K575" s="22"/>
      <c r="L575" s="255">
        <v>45810</v>
      </c>
      <c r="M575" s="25"/>
      <c r="N575" s="22"/>
      <c r="O575" s="26"/>
      <c r="P575" s="22"/>
      <c r="Q575" s="27"/>
      <c r="R575" s="217"/>
      <c r="S575" s="262"/>
      <c r="T575" s="24"/>
      <c r="U575" s="245" t="s">
        <v>66</v>
      </c>
      <c r="V575" s="25" t="s">
        <v>1377</v>
      </c>
      <c r="W575" s="55" t="s">
        <v>67</v>
      </c>
      <c r="X575" s="29">
        <v>12420</v>
      </c>
      <c r="Y575" s="24" t="s">
        <v>215</v>
      </c>
      <c r="Z575" s="261"/>
      <c r="AA575" s="351"/>
      <c r="AB575" s="351"/>
      <c r="AC575" s="7">
        <v>45812</v>
      </c>
      <c r="AD575" s="383"/>
      <c r="AE575" s="71" t="s">
        <v>378</v>
      </c>
      <c r="AF575" s="15"/>
      <c r="AG575" s="15"/>
      <c r="AH575" s="15"/>
      <c r="AI575" s="15"/>
      <c r="AJ575" s="15"/>
      <c r="AK575" s="15"/>
      <c r="AL575" s="15"/>
      <c r="AM575" s="15"/>
      <c r="AN575" s="15"/>
      <c r="AO575" s="15"/>
      <c r="AP575" s="15"/>
      <c r="AQ575" s="15"/>
      <c r="AR575" s="15"/>
      <c r="AS575" s="15"/>
      <c r="AT575" s="15"/>
      <c r="AU575" s="15"/>
      <c r="AV575" s="15"/>
      <c r="AW575" s="15"/>
      <c r="AX575" s="15"/>
      <c r="AY575" s="15"/>
      <c r="AZ575" s="15"/>
    </row>
    <row r="576" spans="1:52" s="15" customFormat="1" ht="24.95" hidden="1" customHeight="1" x14ac:dyDescent="0.25">
      <c r="A576" s="209" t="s">
        <v>136</v>
      </c>
      <c r="B576" s="6">
        <v>29444</v>
      </c>
      <c r="C576" s="5">
        <v>35380</v>
      </c>
      <c r="D576" s="6" t="s">
        <v>105</v>
      </c>
      <c r="E576" s="6" t="s">
        <v>1380</v>
      </c>
      <c r="F576" s="167" t="s">
        <v>1381</v>
      </c>
      <c r="G576" s="6" t="s">
        <v>108</v>
      </c>
      <c r="H576" s="6" t="s">
        <v>37</v>
      </c>
      <c r="I576" s="6" t="s">
        <v>97</v>
      </c>
      <c r="J576" s="6" t="s">
        <v>98</v>
      </c>
      <c r="K576" s="6"/>
      <c r="L576" s="7">
        <v>45767</v>
      </c>
      <c r="M576" s="7" t="s">
        <v>861</v>
      </c>
      <c r="N576" s="73" t="s">
        <v>40</v>
      </c>
      <c r="O576" s="13">
        <f>2900+400</f>
        <v>3300</v>
      </c>
      <c r="P576" s="6" t="s">
        <v>41</v>
      </c>
      <c r="Q576" s="41">
        <f>+O576/C576</f>
        <v>9.3273035613340868E-2</v>
      </c>
      <c r="R576" s="7"/>
      <c r="S576" s="41"/>
      <c r="T576" s="7">
        <v>45810</v>
      </c>
      <c r="U576" s="17" t="s">
        <v>43</v>
      </c>
      <c r="V576" s="7" t="s">
        <v>1377</v>
      </c>
      <c r="W576" s="11" t="s">
        <v>45</v>
      </c>
      <c r="X576" s="236">
        <v>97965</v>
      </c>
      <c r="Y576" s="11" t="s">
        <v>68</v>
      </c>
      <c r="Z576" s="11"/>
      <c r="AA576" s="7">
        <v>45813</v>
      </c>
      <c r="AB576" s="7">
        <v>45813</v>
      </c>
      <c r="AC576" s="7">
        <v>45813</v>
      </c>
      <c r="AD576" s="38"/>
      <c r="AE576" s="71">
        <v>45817</v>
      </c>
    </row>
    <row r="577" spans="1:52" s="30" customFormat="1" ht="23.25" hidden="1" customHeight="1" x14ac:dyDescent="0.25">
      <c r="A577" s="109" t="s">
        <v>515</v>
      </c>
      <c r="B577" s="22">
        <v>29135</v>
      </c>
      <c r="C577" s="23">
        <v>40500</v>
      </c>
      <c r="D577" s="22" t="s">
        <v>249</v>
      </c>
      <c r="E577" s="22" t="s">
        <v>1382</v>
      </c>
      <c r="F577" s="22"/>
      <c r="G577" s="22"/>
      <c r="H577" s="22" t="s">
        <v>37</v>
      </c>
      <c r="I577" s="22" t="s">
        <v>1383</v>
      </c>
      <c r="J577" s="22" t="s">
        <v>62</v>
      </c>
      <c r="K577" s="22"/>
      <c r="L577" s="25">
        <v>45811</v>
      </c>
      <c r="M577" s="25"/>
      <c r="N577" s="22" t="s">
        <v>441</v>
      </c>
      <c r="O577" s="26">
        <v>6200</v>
      </c>
      <c r="P577" s="22" t="s">
        <v>80</v>
      </c>
      <c r="Q577" s="259">
        <f>+O577/C577</f>
        <v>0.15308641975308643</v>
      </c>
      <c r="R577" s="244"/>
      <c r="S577" s="315"/>
      <c r="T577" s="55"/>
      <c r="U577" s="245" t="s">
        <v>66</v>
      </c>
      <c r="V577" s="25" t="s">
        <v>1384</v>
      </c>
      <c r="W577" s="55" t="s">
        <v>45</v>
      </c>
      <c r="X577" s="29">
        <v>212625</v>
      </c>
      <c r="Y577" s="24" t="s">
        <v>215</v>
      </c>
      <c r="Z577" s="24"/>
      <c r="AA577" s="78"/>
      <c r="AB577" s="78"/>
      <c r="AC577" s="7">
        <v>45814</v>
      </c>
      <c r="AD577" s="48"/>
      <c r="AE577" s="71"/>
      <c r="AF577" s="15"/>
      <c r="AG577" s="15"/>
      <c r="AH577" s="15"/>
      <c r="AI577" s="15"/>
      <c r="AJ577" s="15"/>
      <c r="AK577" s="15"/>
      <c r="AL577" s="15"/>
      <c r="AM577" s="15"/>
      <c r="AN577" s="15"/>
      <c r="AO577" s="15"/>
      <c r="AP577" s="15"/>
      <c r="AQ577" s="15"/>
      <c r="AR577" s="15"/>
      <c r="AS577" s="15"/>
      <c r="AT577" s="15"/>
      <c r="AU577" s="15"/>
      <c r="AV577" s="15"/>
      <c r="AW577" s="15"/>
      <c r="AX577" s="15"/>
      <c r="AY577" s="15"/>
      <c r="AZ577" s="15"/>
    </row>
    <row r="578" spans="1:52" s="30" customFormat="1" ht="24.95" hidden="1" customHeight="1" x14ac:dyDescent="0.25">
      <c r="A578" s="109" t="s">
        <v>267</v>
      </c>
      <c r="B578" s="22">
        <v>28191</v>
      </c>
      <c r="C578" s="23">
        <v>40000</v>
      </c>
      <c r="D578" s="22" t="s">
        <v>249</v>
      </c>
      <c r="E578" s="22" t="s">
        <v>457</v>
      </c>
      <c r="F578" s="22"/>
      <c r="G578" s="22"/>
      <c r="H578" s="22" t="s">
        <v>37</v>
      </c>
      <c r="I578" s="22" t="s">
        <v>269</v>
      </c>
      <c r="J578" s="22" t="s">
        <v>62</v>
      </c>
      <c r="K578" s="22"/>
      <c r="L578" s="25">
        <v>45811</v>
      </c>
      <c r="M578" s="25"/>
      <c r="N578" s="22" t="s">
        <v>103</v>
      </c>
      <c r="O578" s="26">
        <v>6800</v>
      </c>
      <c r="P578" s="22" t="s">
        <v>80</v>
      </c>
      <c r="Q578" s="259">
        <f>+O578/C578</f>
        <v>0.17</v>
      </c>
      <c r="R578" s="244"/>
      <c r="S578" s="315"/>
      <c r="T578" s="55"/>
      <c r="U578" s="245" t="s">
        <v>66</v>
      </c>
      <c r="V578" s="25" t="s">
        <v>1384</v>
      </c>
      <c r="W578" s="55" t="s">
        <v>45</v>
      </c>
      <c r="X578" s="29">
        <v>114000</v>
      </c>
      <c r="Y578" s="24" t="s">
        <v>215</v>
      </c>
      <c r="Z578" s="24"/>
      <c r="AA578" s="78"/>
      <c r="AB578" s="78"/>
      <c r="AC578" s="7">
        <v>45814</v>
      </c>
      <c r="AD578" s="38"/>
      <c r="AE578" s="71"/>
      <c r="AF578" s="15"/>
      <c r="AG578" s="15"/>
      <c r="AH578" s="15"/>
      <c r="AI578" s="15"/>
      <c r="AJ578" s="15"/>
      <c r="AK578" s="15"/>
      <c r="AL578" s="15"/>
      <c r="AM578" s="15"/>
      <c r="AN578" s="15"/>
      <c r="AO578" s="15"/>
      <c r="AP578" s="15"/>
      <c r="AQ578" s="15"/>
      <c r="AR578" s="15"/>
      <c r="AS578" s="15"/>
      <c r="AT578" s="15"/>
      <c r="AU578" s="15"/>
      <c r="AV578" s="15"/>
      <c r="AW578" s="15"/>
      <c r="AX578" s="15"/>
      <c r="AY578" s="15"/>
      <c r="AZ578" s="15"/>
    </row>
    <row r="579" spans="1:52" s="30" customFormat="1" ht="24.95" hidden="1" customHeight="1" x14ac:dyDescent="0.25">
      <c r="A579" s="109" t="s">
        <v>313</v>
      </c>
      <c r="B579" s="22">
        <v>27786</v>
      </c>
      <c r="C579" s="260">
        <v>41800</v>
      </c>
      <c r="D579" s="256" t="s">
        <v>249</v>
      </c>
      <c r="E579" s="256" t="s">
        <v>318</v>
      </c>
      <c r="F579" s="22"/>
      <c r="G579" s="22"/>
      <c r="H579" s="256" t="s">
        <v>315</v>
      </c>
      <c r="I579" s="22" t="s">
        <v>285</v>
      </c>
      <c r="J579" s="22" t="s">
        <v>62</v>
      </c>
      <c r="K579" s="22"/>
      <c r="L579" s="25">
        <v>45813</v>
      </c>
      <c r="M579" s="25"/>
      <c r="N579" s="22" t="s">
        <v>441</v>
      </c>
      <c r="O579" s="26">
        <v>3800</v>
      </c>
      <c r="P579" s="22" t="s">
        <v>80</v>
      </c>
      <c r="Q579" s="259">
        <f>+O579/C579</f>
        <v>9.0909090909090912E-2</v>
      </c>
      <c r="R579" s="217"/>
      <c r="S579" s="262"/>
      <c r="T579" s="24"/>
      <c r="U579" s="245" t="s">
        <v>66</v>
      </c>
      <c r="V579" s="25" t="s">
        <v>1384</v>
      </c>
      <c r="W579" s="55" t="s">
        <v>67</v>
      </c>
      <c r="X579" s="29">
        <v>24662</v>
      </c>
      <c r="Y579" s="24" t="s">
        <v>215</v>
      </c>
      <c r="Z579" s="261"/>
      <c r="AA579" s="351"/>
      <c r="AB579" s="78"/>
      <c r="AC579" s="7">
        <v>45815</v>
      </c>
      <c r="AD579" s="621" t="s">
        <v>317</v>
      </c>
      <c r="AE579" s="71">
        <v>45817</v>
      </c>
      <c r="AF579" s="15"/>
      <c r="AG579" s="15"/>
      <c r="AH579" s="15"/>
      <c r="AI579" s="15"/>
      <c r="AJ579" s="15"/>
      <c r="AK579" s="15"/>
      <c r="AL579" s="15"/>
      <c r="AM579" s="15"/>
      <c r="AN579" s="15"/>
      <c r="AO579" s="15"/>
      <c r="AP579" s="15"/>
      <c r="AQ579" s="15"/>
      <c r="AR579" s="15"/>
      <c r="AS579" s="15"/>
      <c r="AT579" s="15"/>
      <c r="AU579" s="15"/>
      <c r="AV579" s="15"/>
      <c r="AW579" s="15"/>
      <c r="AX579" s="15"/>
      <c r="AY579" s="15"/>
      <c r="AZ579" s="15"/>
    </row>
    <row r="580" spans="1:52" s="15" customFormat="1" ht="24.95" hidden="1" customHeight="1" x14ac:dyDescent="0.25">
      <c r="A580" s="16" t="s">
        <v>1385</v>
      </c>
      <c r="B580" s="167">
        <v>29855</v>
      </c>
      <c r="C580" s="168">
        <v>36830</v>
      </c>
      <c r="D580" s="6" t="s">
        <v>105</v>
      </c>
      <c r="E580" s="167" t="s">
        <v>1386</v>
      </c>
      <c r="F580" s="167" t="s">
        <v>1387</v>
      </c>
      <c r="G580" s="6" t="s">
        <v>108</v>
      </c>
      <c r="H580" s="169" t="s">
        <v>37</v>
      </c>
      <c r="I580" s="169" t="s">
        <v>1388</v>
      </c>
      <c r="J580" s="169" t="s">
        <v>1389</v>
      </c>
      <c r="K580" s="169"/>
      <c r="L580" s="7">
        <v>45793</v>
      </c>
      <c r="M580" s="64" t="s">
        <v>99</v>
      </c>
      <c r="N580" s="73" t="s">
        <v>40</v>
      </c>
      <c r="O580" s="13">
        <f>1820+400</f>
        <v>2220</v>
      </c>
      <c r="P580" s="6" t="s">
        <v>41</v>
      </c>
      <c r="Q580" s="19">
        <f>+O580/C580</f>
        <v>6.0276948140103176E-2</v>
      </c>
      <c r="R580" s="65"/>
      <c r="S580" s="156"/>
      <c r="T580" s="7">
        <v>45816</v>
      </c>
      <c r="U580" s="67" t="s">
        <v>43</v>
      </c>
      <c r="V580" s="7" t="s">
        <v>1384</v>
      </c>
      <c r="W580" s="11" t="s">
        <v>67</v>
      </c>
      <c r="X580" s="608">
        <f>34560-10368</f>
        <v>24192</v>
      </c>
      <c r="Y580" s="171" t="s">
        <v>46</v>
      </c>
      <c r="Z580" s="171"/>
      <c r="AA580" s="351"/>
      <c r="AB580" s="7">
        <v>45818</v>
      </c>
      <c r="AC580" s="7">
        <v>45817</v>
      </c>
      <c r="AD580" s="38"/>
      <c r="AE580" s="263"/>
    </row>
    <row r="581" spans="1:52" s="15" customFormat="1" ht="24.95" hidden="1" customHeight="1" x14ac:dyDescent="0.25">
      <c r="A581" s="209" t="s">
        <v>47</v>
      </c>
      <c r="B581" s="167">
        <v>27253</v>
      </c>
      <c r="C581" s="5">
        <v>55000</v>
      </c>
      <c r="D581" s="167" t="s">
        <v>48</v>
      </c>
      <c r="E581" s="167" t="s">
        <v>49</v>
      </c>
      <c r="F581" s="167" t="s">
        <v>1390</v>
      </c>
      <c r="G581" s="167" t="s">
        <v>36</v>
      </c>
      <c r="H581" s="169" t="s">
        <v>51</v>
      </c>
      <c r="I581" s="169" t="s">
        <v>52</v>
      </c>
      <c r="J581" s="169" t="s">
        <v>53</v>
      </c>
      <c r="K581" s="169"/>
      <c r="L581" s="7">
        <v>45744</v>
      </c>
      <c r="M581" s="64"/>
      <c r="N581" s="73"/>
      <c r="O581" s="177"/>
      <c r="P581" s="6"/>
      <c r="Q581" s="19"/>
      <c r="R581" s="65"/>
      <c r="S581" s="41"/>
      <c r="T581" s="7">
        <v>45816</v>
      </c>
      <c r="U581" s="46" t="s">
        <v>43</v>
      </c>
      <c r="V581" s="7" t="s">
        <v>1384</v>
      </c>
      <c r="W581" s="11" t="s">
        <v>45</v>
      </c>
      <c r="X581" s="608">
        <v>26718</v>
      </c>
      <c r="Y581" s="171" t="s">
        <v>46</v>
      </c>
      <c r="Z581" s="747"/>
      <c r="AA581" s="155"/>
      <c r="AB581" s="7">
        <v>45817</v>
      </c>
      <c r="AC581" s="7">
        <v>45817</v>
      </c>
      <c r="AD581" s="38"/>
      <c r="AE581" s="263"/>
    </row>
    <row r="582" spans="1:52" s="15" customFormat="1" ht="24.95" hidden="1" customHeight="1" x14ac:dyDescent="0.25">
      <c r="A582" s="209" t="s">
        <v>47</v>
      </c>
      <c r="B582" s="167">
        <v>27254</v>
      </c>
      <c r="C582" s="5">
        <v>55000</v>
      </c>
      <c r="D582" s="167" t="s">
        <v>48</v>
      </c>
      <c r="E582" s="167" t="s">
        <v>49</v>
      </c>
      <c r="F582" s="167" t="s">
        <v>1391</v>
      </c>
      <c r="G582" s="167" t="s">
        <v>36</v>
      </c>
      <c r="H582" s="169" t="s">
        <v>51</v>
      </c>
      <c r="I582" s="169" t="s">
        <v>52</v>
      </c>
      <c r="J582" s="169" t="s">
        <v>53</v>
      </c>
      <c r="K582" s="169"/>
      <c r="L582" s="7">
        <v>45744</v>
      </c>
      <c r="M582" s="64"/>
      <c r="N582" s="73"/>
      <c r="O582" s="177"/>
      <c r="P582" s="6"/>
      <c r="Q582" s="19"/>
      <c r="R582" s="65"/>
      <c r="S582" s="41"/>
      <c r="T582" s="7">
        <v>45816</v>
      </c>
      <c r="U582" s="46" t="s">
        <v>43</v>
      </c>
      <c r="V582" s="7" t="s">
        <v>1384</v>
      </c>
      <c r="W582" s="11" t="s">
        <v>67</v>
      </c>
      <c r="X582" s="608">
        <v>26718</v>
      </c>
      <c r="Y582" s="171" t="s">
        <v>46</v>
      </c>
      <c r="Z582" s="747"/>
      <c r="AA582" s="155"/>
      <c r="AB582" s="7">
        <v>45817</v>
      </c>
      <c r="AC582" s="7">
        <v>45817</v>
      </c>
      <c r="AD582" s="38"/>
      <c r="AE582" s="263"/>
    </row>
    <row r="583" spans="1:52" s="15" customFormat="1" ht="24.95" hidden="1" customHeight="1" x14ac:dyDescent="0.25">
      <c r="A583" s="209" t="s">
        <v>846</v>
      </c>
      <c r="B583" s="6">
        <v>29478</v>
      </c>
      <c r="C583" s="5">
        <v>44000</v>
      </c>
      <c r="D583" s="6" t="s">
        <v>48</v>
      </c>
      <c r="E583" s="6" t="s">
        <v>715</v>
      </c>
      <c r="F583" s="167" t="s">
        <v>1392</v>
      </c>
      <c r="G583" s="167" t="s">
        <v>36</v>
      </c>
      <c r="H583" s="169" t="s">
        <v>51</v>
      </c>
      <c r="I583" s="169" t="s">
        <v>52</v>
      </c>
      <c r="J583" s="169" t="s">
        <v>493</v>
      </c>
      <c r="K583" s="169"/>
      <c r="L583" s="7">
        <v>45767</v>
      </c>
      <c r="M583" s="64"/>
      <c r="N583" s="73"/>
      <c r="O583" s="177"/>
      <c r="P583" s="6"/>
      <c r="Q583" s="19"/>
      <c r="R583" s="65"/>
      <c r="S583" s="41"/>
      <c r="T583" s="7">
        <v>45812</v>
      </c>
      <c r="U583" s="46" t="s">
        <v>43</v>
      </c>
      <c r="V583" s="7" t="s">
        <v>1384</v>
      </c>
      <c r="W583" s="11" t="s">
        <v>67</v>
      </c>
      <c r="X583" s="608">
        <v>32000</v>
      </c>
      <c r="Y583" s="171" t="s">
        <v>46</v>
      </c>
      <c r="Z583" s="171"/>
      <c r="AA583" s="78"/>
      <c r="AB583" s="7">
        <v>45818</v>
      </c>
      <c r="AC583" s="7">
        <v>45813</v>
      </c>
      <c r="AD583" s="38"/>
      <c r="AE583" s="263"/>
    </row>
    <row r="584" spans="1:52" s="15" customFormat="1" ht="24.95" hidden="1" customHeight="1" x14ac:dyDescent="0.25">
      <c r="A584" s="16" t="s">
        <v>1314</v>
      </c>
      <c r="B584" s="6">
        <v>28659</v>
      </c>
      <c r="C584" s="5">
        <v>1848</v>
      </c>
      <c r="D584" s="6">
        <v>5</v>
      </c>
      <c r="E584" s="6" t="s">
        <v>125</v>
      </c>
      <c r="F584" s="6" t="s">
        <v>1393</v>
      </c>
      <c r="G584" s="6" t="s">
        <v>602</v>
      </c>
      <c r="H584" s="6" t="s">
        <v>51</v>
      </c>
      <c r="I584" s="6" t="s">
        <v>52</v>
      </c>
      <c r="J584" s="6" t="s">
        <v>75</v>
      </c>
      <c r="K584" s="6"/>
      <c r="L584" s="7">
        <v>45778</v>
      </c>
      <c r="M584" s="7"/>
      <c r="N584" s="73" t="s">
        <v>45</v>
      </c>
      <c r="O584" s="13"/>
      <c r="P584" s="6"/>
      <c r="Q584" s="19">
        <f>+O584/C584</f>
        <v>0</v>
      </c>
      <c r="R584" s="7">
        <v>45803</v>
      </c>
      <c r="S584" s="41" t="s">
        <v>65</v>
      </c>
      <c r="T584" s="7">
        <v>45813</v>
      </c>
      <c r="U584" s="46" t="s">
        <v>76</v>
      </c>
      <c r="V584" s="7" t="s">
        <v>1384</v>
      </c>
      <c r="W584" s="11" t="s">
        <v>45</v>
      </c>
      <c r="X584" s="114">
        <f>12250-3675</f>
        <v>8575</v>
      </c>
      <c r="Y584" s="171" t="s">
        <v>46</v>
      </c>
      <c r="Z584" s="171"/>
      <c r="AA584" s="351"/>
      <c r="AB584" s="71"/>
      <c r="AC584" s="7">
        <v>45817</v>
      </c>
      <c r="AD584" s="383" t="s">
        <v>54</v>
      </c>
      <c r="AE584" s="71"/>
    </row>
    <row r="585" spans="1:52" s="15" customFormat="1" ht="24.95" hidden="1" customHeight="1" x14ac:dyDescent="0.25">
      <c r="A585" s="16" t="s">
        <v>241</v>
      </c>
      <c r="B585" s="167">
        <v>27870</v>
      </c>
      <c r="C585" s="5">
        <v>55000</v>
      </c>
      <c r="D585" s="167" t="s">
        <v>48</v>
      </c>
      <c r="E585" s="167" t="s">
        <v>293</v>
      </c>
      <c r="F585" s="4" t="s">
        <v>1394</v>
      </c>
      <c r="G585" s="6" t="s">
        <v>369</v>
      </c>
      <c r="H585" s="169" t="s">
        <v>109</v>
      </c>
      <c r="I585" s="169" t="s">
        <v>52</v>
      </c>
      <c r="J585" s="169" t="s">
        <v>75</v>
      </c>
      <c r="K585" s="169"/>
      <c r="L585" s="7">
        <v>45807</v>
      </c>
      <c r="M585" s="64"/>
      <c r="N585" s="73"/>
      <c r="O585" s="177"/>
      <c r="P585" s="6"/>
      <c r="Q585" s="19"/>
      <c r="R585" s="7">
        <v>45804</v>
      </c>
      <c r="S585" s="41" t="s">
        <v>65</v>
      </c>
      <c r="T585" s="7">
        <v>45818</v>
      </c>
      <c r="U585" s="46" t="s">
        <v>76</v>
      </c>
      <c r="V585" s="7" t="s">
        <v>1384</v>
      </c>
      <c r="W585" s="11" t="s">
        <v>67</v>
      </c>
      <c r="X585" s="114">
        <f>47500-6100</f>
        <v>41400</v>
      </c>
      <c r="Y585" s="171" t="s">
        <v>46</v>
      </c>
      <c r="Z585" s="171"/>
      <c r="AA585" s="351"/>
      <c r="AB585" s="7">
        <v>45820</v>
      </c>
      <c r="AC585" s="7">
        <v>45820</v>
      </c>
      <c r="AD585" s="38" t="s">
        <v>1395</v>
      </c>
      <c r="AE585" s="263"/>
    </row>
    <row r="586" spans="1:52" s="30" customFormat="1" ht="24.95" hidden="1" customHeight="1" x14ac:dyDescent="0.25">
      <c r="A586" s="109" t="s">
        <v>263</v>
      </c>
      <c r="B586" s="22">
        <v>30042</v>
      </c>
      <c r="C586" s="23">
        <v>40000</v>
      </c>
      <c r="D586" s="22" t="s">
        <v>249</v>
      </c>
      <c r="E586" s="22" t="s">
        <v>265</v>
      </c>
      <c r="F586" s="22"/>
      <c r="G586" s="22"/>
      <c r="H586" s="22" t="s">
        <v>37</v>
      </c>
      <c r="I586" s="22" t="s">
        <v>266</v>
      </c>
      <c r="J586" s="22" t="s">
        <v>62</v>
      </c>
      <c r="K586" s="22"/>
      <c r="L586" s="255">
        <v>45819</v>
      </c>
      <c r="M586" s="25"/>
      <c r="N586" s="22" t="s">
        <v>811</v>
      </c>
      <c r="O586" s="26">
        <v>2795</v>
      </c>
      <c r="P586" s="22" t="s">
        <v>80</v>
      </c>
      <c r="Q586" s="259">
        <f>+O586/C586</f>
        <v>6.9875000000000007E-2</v>
      </c>
      <c r="R586" s="217"/>
      <c r="S586" s="27"/>
      <c r="T586" s="24"/>
      <c r="U586" s="28" t="s">
        <v>66</v>
      </c>
      <c r="V586" s="25" t="s">
        <v>1384</v>
      </c>
      <c r="W586" s="24" t="s">
        <v>67</v>
      </c>
      <c r="X586" s="29">
        <v>154400</v>
      </c>
      <c r="Y586" s="24" t="s">
        <v>215</v>
      </c>
      <c r="Z586" s="261"/>
      <c r="AA586" s="351"/>
      <c r="AB586" s="351"/>
      <c r="AC586" s="7">
        <v>45820</v>
      </c>
      <c r="AD586" s="6"/>
      <c r="AE586" s="71"/>
      <c r="AF586" s="15"/>
      <c r="AG586" s="15"/>
      <c r="AH586" s="15"/>
      <c r="AI586" s="15"/>
      <c r="AJ586" s="15"/>
      <c r="AK586" s="15"/>
      <c r="AL586" s="15"/>
      <c r="AM586" s="15"/>
      <c r="AN586" s="15"/>
      <c r="AO586" s="15"/>
      <c r="AP586" s="15"/>
      <c r="AQ586" s="15"/>
      <c r="AR586" s="15"/>
      <c r="AS586" s="15"/>
      <c r="AT586" s="15"/>
      <c r="AU586" s="15"/>
      <c r="AV586" s="15"/>
      <c r="AW586" s="15"/>
      <c r="AX586" s="15"/>
      <c r="AY586" s="15"/>
      <c r="AZ586" s="15"/>
    </row>
    <row r="587" spans="1:52" s="30" customFormat="1" ht="24.95" hidden="1" customHeight="1" x14ac:dyDescent="0.25">
      <c r="A587" s="21" t="s">
        <v>659</v>
      </c>
      <c r="B587" s="22">
        <v>30462</v>
      </c>
      <c r="C587" s="23"/>
      <c r="D587" s="22">
        <v>10</v>
      </c>
      <c r="E587" s="22" t="s">
        <v>1396</v>
      </c>
      <c r="F587" s="22"/>
      <c r="G587" s="22"/>
      <c r="H587" s="22"/>
      <c r="I587" s="22"/>
      <c r="J587" s="22" t="s">
        <v>53</v>
      </c>
      <c r="K587" s="22"/>
      <c r="L587" s="255">
        <v>45818</v>
      </c>
      <c r="M587" s="25"/>
      <c r="N587" s="22" t="s">
        <v>357</v>
      </c>
      <c r="O587" s="26">
        <v>695</v>
      </c>
      <c r="P587" s="22" t="s">
        <v>80</v>
      </c>
      <c r="Q587" s="259" t="e">
        <f>+O587/C587</f>
        <v>#DIV/0!</v>
      </c>
      <c r="R587" s="217"/>
      <c r="S587" s="217"/>
      <c r="T587" s="24"/>
      <c r="U587" s="28" t="s">
        <v>66</v>
      </c>
      <c r="V587" s="25" t="s">
        <v>1397</v>
      </c>
      <c r="W587" s="24" t="s">
        <v>45</v>
      </c>
      <c r="X587" s="29">
        <v>179000</v>
      </c>
      <c r="Y587" s="24" t="s">
        <v>215</v>
      </c>
      <c r="Z587" s="261"/>
      <c r="AA587" s="351"/>
      <c r="AB587" s="351"/>
      <c r="AC587" s="351"/>
      <c r="AD587" s="383"/>
      <c r="AE587" s="71"/>
      <c r="AF587" s="15"/>
      <c r="AG587" s="15"/>
      <c r="AH587" s="15"/>
      <c r="AI587" s="15"/>
      <c r="AJ587" s="15"/>
      <c r="AK587" s="15"/>
      <c r="AL587" s="15"/>
      <c r="AM587" s="15"/>
      <c r="AN587" s="15"/>
      <c r="AO587" s="15"/>
      <c r="AP587" s="15"/>
      <c r="AQ587" s="15"/>
      <c r="AR587" s="15"/>
      <c r="AS587" s="15"/>
      <c r="AT587" s="15"/>
      <c r="AU587" s="15"/>
      <c r="AV587" s="15"/>
      <c r="AW587" s="15"/>
      <c r="AX587" s="15"/>
      <c r="AY587" s="15"/>
      <c r="AZ587" s="15"/>
    </row>
    <row r="588" spans="1:52" s="288" customFormat="1" ht="23.25" hidden="1" customHeight="1" x14ac:dyDescent="0.3">
      <c r="A588" s="587" t="s">
        <v>279</v>
      </c>
      <c r="B588" s="488">
        <v>29646</v>
      </c>
      <c r="C588" s="489">
        <v>40000</v>
      </c>
      <c r="D588" s="488" t="s">
        <v>105</v>
      </c>
      <c r="E588" s="488" t="s">
        <v>888</v>
      </c>
      <c r="F588" s="502" t="s">
        <v>1398</v>
      </c>
      <c r="G588" s="488" t="s">
        <v>36</v>
      </c>
      <c r="H588" s="488" t="s">
        <v>37</v>
      </c>
      <c r="I588" s="488" t="s">
        <v>281</v>
      </c>
      <c r="J588" s="488" t="s">
        <v>120</v>
      </c>
      <c r="K588" s="488"/>
      <c r="L588" s="490">
        <v>45761</v>
      </c>
      <c r="M588" s="490" t="s">
        <v>913</v>
      </c>
      <c r="N588" s="503"/>
      <c r="O588" s="491">
        <f>3337+400</f>
        <v>3737</v>
      </c>
      <c r="P588" s="488" t="s">
        <v>41</v>
      </c>
      <c r="Q588" s="519">
        <f>+O588/C588</f>
        <v>9.3424999999999994E-2</v>
      </c>
      <c r="R588" s="490">
        <v>45804</v>
      </c>
      <c r="S588" s="492" t="s">
        <v>65</v>
      </c>
      <c r="T588" s="490">
        <v>45820</v>
      </c>
      <c r="U588" s="527" t="s">
        <v>76</v>
      </c>
      <c r="V588" s="490" t="s">
        <v>1397</v>
      </c>
      <c r="W588" s="498" t="s">
        <v>45</v>
      </c>
      <c r="X588" s="622">
        <v>130000</v>
      </c>
      <c r="Y588" s="498" t="s">
        <v>68</v>
      </c>
      <c r="Z588" s="498"/>
      <c r="AA588" s="284">
        <v>45825</v>
      </c>
      <c r="AB588" s="284">
        <v>45825</v>
      </c>
      <c r="AC588" s="284">
        <v>45819</v>
      </c>
      <c r="AD588" s="293"/>
      <c r="AE588" s="286">
        <v>45809</v>
      </c>
    </row>
    <row r="589" spans="1:52" s="288" customFormat="1" ht="24.95" hidden="1" customHeight="1" x14ac:dyDescent="0.3">
      <c r="A589" s="487" t="s">
        <v>136</v>
      </c>
      <c r="B589" s="488">
        <v>28389</v>
      </c>
      <c r="C589" s="489">
        <v>52800</v>
      </c>
      <c r="D589" s="488" t="s">
        <v>33</v>
      </c>
      <c r="E589" s="488" t="s">
        <v>575</v>
      </c>
      <c r="F589" s="522" t="s">
        <v>1399</v>
      </c>
      <c r="G589" s="488" t="s">
        <v>108</v>
      </c>
      <c r="H589" s="488" t="s">
        <v>37</v>
      </c>
      <c r="I589" s="488" t="s">
        <v>97</v>
      </c>
      <c r="J589" s="488" t="s">
        <v>98</v>
      </c>
      <c r="K589" s="488"/>
      <c r="L589" s="490">
        <v>45767</v>
      </c>
      <c r="M589" s="490" t="s">
        <v>861</v>
      </c>
      <c r="N589" s="503" t="s">
        <v>40</v>
      </c>
      <c r="O589" s="491">
        <f>3000+400</f>
        <v>3400</v>
      </c>
      <c r="P589" s="488" t="s">
        <v>41</v>
      </c>
      <c r="Q589" s="492">
        <f>+O589/C589</f>
        <v>6.4393939393939392E-2</v>
      </c>
      <c r="R589" s="490"/>
      <c r="S589" s="492"/>
      <c r="T589" s="490">
        <v>45810</v>
      </c>
      <c r="U589" s="495" t="s">
        <v>43</v>
      </c>
      <c r="V589" s="490" t="s">
        <v>1397</v>
      </c>
      <c r="W589" s="498" t="s">
        <v>67</v>
      </c>
      <c r="X589" s="622">
        <v>113448</v>
      </c>
      <c r="Y589" s="498" t="s">
        <v>68</v>
      </c>
      <c r="Z589" s="498"/>
      <c r="AA589" s="284">
        <v>45825</v>
      </c>
      <c r="AB589" s="284">
        <v>45825</v>
      </c>
      <c r="AC589" s="284">
        <v>45825</v>
      </c>
      <c r="AD589" s="293"/>
      <c r="AE589" s="286"/>
    </row>
    <row r="590" spans="1:52" s="413" customFormat="1" ht="24.95" hidden="1" customHeight="1" x14ac:dyDescent="0.3">
      <c r="A590" s="586" t="s">
        <v>77</v>
      </c>
      <c r="B590" s="509">
        <v>30389</v>
      </c>
      <c r="C590" s="510">
        <v>20000</v>
      </c>
      <c r="D590" s="509">
        <v>14</v>
      </c>
      <c r="E590" s="509" t="s">
        <v>1400</v>
      </c>
      <c r="F590" s="509"/>
      <c r="G590" s="509"/>
      <c r="H590" s="509" t="s">
        <v>164</v>
      </c>
      <c r="I590" s="509"/>
      <c r="J590" s="509" t="s">
        <v>53</v>
      </c>
      <c r="K590" s="509"/>
      <c r="L590" s="520">
        <v>45818</v>
      </c>
      <c r="M590" s="511"/>
      <c r="N590" s="509" t="s">
        <v>45</v>
      </c>
      <c r="O590" s="512"/>
      <c r="P590" s="509"/>
      <c r="Q590" s="613"/>
      <c r="R590" s="514"/>
      <c r="S590" s="514"/>
      <c r="T590" s="515"/>
      <c r="U590" s="516" t="s">
        <v>66</v>
      </c>
      <c r="V590" s="511" t="s">
        <v>1397</v>
      </c>
      <c r="W590" s="515" t="s">
        <v>45</v>
      </c>
      <c r="X590" s="517">
        <v>51800</v>
      </c>
      <c r="Y590" s="515" t="s">
        <v>215</v>
      </c>
      <c r="Z590" s="652"/>
      <c r="AA590" s="507"/>
      <c r="AB590" s="507"/>
      <c r="AC590" s="507"/>
      <c r="AD590" s="529"/>
      <c r="AE590" s="286"/>
      <c r="AF590" s="288"/>
      <c r="AG590" s="288"/>
      <c r="AH590" s="288"/>
      <c r="AI590" s="288"/>
      <c r="AJ590" s="288"/>
      <c r="AK590" s="288"/>
      <c r="AL590" s="288"/>
      <c r="AM590" s="288"/>
      <c r="AN590" s="288"/>
      <c r="AO590" s="288"/>
      <c r="AP590" s="288"/>
      <c r="AQ590" s="288"/>
      <c r="AR590" s="288"/>
      <c r="AS590" s="288"/>
      <c r="AT590" s="288"/>
      <c r="AU590" s="288"/>
      <c r="AV590" s="288"/>
      <c r="AW590" s="288"/>
      <c r="AX590" s="288"/>
      <c r="AY590" s="288"/>
      <c r="AZ590" s="288"/>
    </row>
    <row r="591" spans="1:52" s="413" customFormat="1" ht="24.95" hidden="1" customHeight="1" x14ac:dyDescent="0.3">
      <c r="A591" s="508" t="s">
        <v>77</v>
      </c>
      <c r="B591" s="509">
        <v>30339</v>
      </c>
      <c r="C591" s="510">
        <v>20000</v>
      </c>
      <c r="D591" s="509">
        <v>7</v>
      </c>
      <c r="E591" s="509" t="s">
        <v>78</v>
      </c>
      <c r="F591" s="509"/>
      <c r="G591" s="509"/>
      <c r="H591" s="509" t="s">
        <v>164</v>
      </c>
      <c r="I591" s="509"/>
      <c r="J591" s="509" t="s">
        <v>53</v>
      </c>
      <c r="K591" s="509"/>
      <c r="L591" s="520">
        <v>45818</v>
      </c>
      <c r="M591" s="511"/>
      <c r="N591" s="509" t="s">
        <v>45</v>
      </c>
      <c r="O591" s="512"/>
      <c r="P591" s="509"/>
      <c r="Q591" s="613"/>
      <c r="R591" s="514"/>
      <c r="S591" s="514"/>
      <c r="T591" s="515"/>
      <c r="U591" s="516" t="s">
        <v>66</v>
      </c>
      <c r="V591" s="511" t="s">
        <v>1397</v>
      </c>
      <c r="W591" s="515" t="s">
        <v>45</v>
      </c>
      <c r="X591" s="517"/>
      <c r="Y591" s="515" t="s">
        <v>215</v>
      </c>
      <c r="Z591" s="652"/>
      <c r="AA591" s="507"/>
      <c r="AB591" s="507"/>
      <c r="AC591" s="507"/>
      <c r="AD591" s="529"/>
      <c r="AE591" s="286"/>
      <c r="AF591" s="288"/>
      <c r="AG591" s="288"/>
      <c r="AH591" s="288"/>
      <c r="AI591" s="288"/>
      <c r="AJ591" s="288"/>
      <c r="AK591" s="288"/>
      <c r="AL591" s="288"/>
      <c r="AM591" s="288"/>
      <c r="AN591" s="288"/>
      <c r="AO591" s="288"/>
      <c r="AP591" s="288"/>
      <c r="AQ591" s="288"/>
      <c r="AR591" s="288"/>
      <c r="AS591" s="288"/>
      <c r="AT591" s="288"/>
      <c r="AU591" s="288"/>
      <c r="AV591" s="288"/>
      <c r="AW591" s="288"/>
      <c r="AX591" s="288"/>
      <c r="AY591" s="288"/>
      <c r="AZ591" s="288"/>
    </row>
    <row r="592" spans="1:52" s="288" customFormat="1" ht="23.25" hidden="1" x14ac:dyDescent="0.3">
      <c r="A592" s="587" t="s">
        <v>636</v>
      </c>
      <c r="B592" s="488">
        <v>29176</v>
      </c>
      <c r="C592" s="489">
        <v>37400</v>
      </c>
      <c r="D592" s="488" t="s">
        <v>105</v>
      </c>
      <c r="E592" s="488" t="s">
        <v>1401</v>
      </c>
      <c r="F592" s="488" t="s">
        <v>1402</v>
      </c>
      <c r="G592" s="488" t="s">
        <v>369</v>
      </c>
      <c r="H592" s="488" t="s">
        <v>37</v>
      </c>
      <c r="I592" s="488" t="s">
        <v>182</v>
      </c>
      <c r="J592" s="488" t="s">
        <v>183</v>
      </c>
      <c r="K592" s="488"/>
      <c r="L592" s="490">
        <v>45741</v>
      </c>
      <c r="M592" s="490" t="s">
        <v>487</v>
      </c>
      <c r="N592" s="503" t="s">
        <v>40</v>
      </c>
      <c r="O592" s="491">
        <f>3630+400</f>
        <v>4030</v>
      </c>
      <c r="P592" s="488" t="s">
        <v>41</v>
      </c>
      <c r="Q592" s="519">
        <f>+O592/C592</f>
        <v>0.10775401069518717</v>
      </c>
      <c r="R592" s="490">
        <v>45804</v>
      </c>
      <c r="S592" s="492" t="s">
        <v>65</v>
      </c>
      <c r="T592" s="490">
        <v>45818</v>
      </c>
      <c r="U592" s="527" t="s">
        <v>76</v>
      </c>
      <c r="V592" s="490" t="s">
        <v>1397</v>
      </c>
      <c r="W592" s="498" t="s">
        <v>45</v>
      </c>
      <c r="X592" s="497">
        <v>51305</v>
      </c>
      <c r="Y592" s="498" t="s">
        <v>68</v>
      </c>
      <c r="Z592" s="498"/>
      <c r="AA592" s="287"/>
      <c r="AB592" s="286"/>
      <c r="AC592" s="284">
        <v>45819</v>
      </c>
      <c r="AD592" s="293" t="s">
        <v>1403</v>
      </c>
      <c r="AE592" s="286">
        <v>45809</v>
      </c>
    </row>
    <row r="593" spans="1:52" s="413" customFormat="1" ht="24.95" hidden="1" customHeight="1" x14ac:dyDescent="0.35">
      <c r="A593" s="508" t="s">
        <v>320</v>
      </c>
      <c r="B593" s="509">
        <v>30558</v>
      </c>
      <c r="C593" s="510">
        <v>36900</v>
      </c>
      <c r="D593" s="509" t="s">
        <v>249</v>
      </c>
      <c r="E593" s="509" t="s">
        <v>1296</v>
      </c>
      <c r="F593" s="509"/>
      <c r="G593" s="509"/>
      <c r="H593" s="509" t="s">
        <v>164</v>
      </c>
      <c r="I593" s="509" t="s">
        <v>266</v>
      </c>
      <c r="J593" s="509" t="s">
        <v>62</v>
      </c>
      <c r="K593" s="509"/>
      <c r="L593" s="520">
        <v>45826</v>
      </c>
      <c r="M593" s="511"/>
      <c r="N593" s="509" t="s">
        <v>403</v>
      </c>
      <c r="O593" s="512">
        <v>2390</v>
      </c>
      <c r="P593" s="509" t="s">
        <v>80</v>
      </c>
      <c r="Q593" s="654">
        <f>+O593/C593</f>
        <v>6.4769647696476959E-2</v>
      </c>
      <c r="R593" s="543"/>
      <c r="S593" s="544"/>
      <c r="T593" s="545"/>
      <c r="U593" s="539" t="s">
        <v>66</v>
      </c>
      <c r="V593" s="511" t="s">
        <v>1404</v>
      </c>
      <c r="W593" s="515" t="s">
        <v>45</v>
      </c>
      <c r="X593" s="517">
        <v>64342</v>
      </c>
      <c r="Y593" s="515" t="s">
        <v>215</v>
      </c>
      <c r="Z593" s="515"/>
      <c r="AA593" s="518"/>
      <c r="AB593" s="518"/>
      <c r="AC593" s="490"/>
      <c r="AD593" s="501"/>
      <c r="AE593" s="286"/>
      <c r="AF593" s="288"/>
      <c r="AG593" s="288"/>
      <c r="AH593" s="288"/>
      <c r="AI593" s="288"/>
      <c r="AJ593" s="288"/>
      <c r="AK593" s="288"/>
      <c r="AL593" s="288"/>
      <c r="AM593" s="288"/>
      <c r="AN593" s="288"/>
      <c r="AO593" s="288"/>
      <c r="AP593" s="288"/>
      <c r="AQ593" s="288"/>
      <c r="AR593" s="288"/>
      <c r="AS593" s="288"/>
      <c r="AT593" s="288"/>
      <c r="AU593" s="288"/>
      <c r="AV593" s="288"/>
      <c r="AW593" s="288"/>
      <c r="AX593" s="288"/>
      <c r="AY593" s="288"/>
      <c r="AZ593" s="288"/>
    </row>
    <row r="594" spans="1:52" s="413" customFormat="1" ht="24.95" hidden="1" customHeight="1" x14ac:dyDescent="0.35">
      <c r="A594" s="551" t="s">
        <v>1405</v>
      </c>
      <c r="B594" s="502">
        <v>27783</v>
      </c>
      <c r="C594" s="552">
        <v>58000</v>
      </c>
      <c r="D594" s="537" t="s">
        <v>48</v>
      </c>
      <c r="E594" s="502" t="s">
        <v>229</v>
      </c>
      <c r="F594" s="502" t="s">
        <v>1406</v>
      </c>
      <c r="G594" s="502" t="s">
        <v>36</v>
      </c>
      <c r="H594" s="502" t="s">
        <v>109</v>
      </c>
      <c r="I594" s="502" t="s">
        <v>52</v>
      </c>
      <c r="J594" s="502" t="s">
        <v>75</v>
      </c>
      <c r="K594" s="502"/>
      <c r="L594" s="490">
        <v>45761</v>
      </c>
      <c r="M594" s="553"/>
      <c r="N594" s="502"/>
      <c r="O594" s="554"/>
      <c r="P594" s="502"/>
      <c r="Q594" s="519"/>
      <c r="R594" s="490">
        <v>45804</v>
      </c>
      <c r="S594" s="519" t="s">
        <v>65</v>
      </c>
      <c r="T594" s="490">
        <v>45818</v>
      </c>
      <c r="U594" s="527" t="s">
        <v>76</v>
      </c>
      <c r="V594" s="490" t="s">
        <v>1397</v>
      </c>
      <c r="W594" s="498" t="s">
        <v>67</v>
      </c>
      <c r="X594" s="557">
        <f>59287-11857.4</f>
        <v>47429.599999999999</v>
      </c>
      <c r="Y594" s="498" t="s">
        <v>46</v>
      </c>
      <c r="Z594" s="498"/>
      <c r="AA594" s="518"/>
      <c r="AB594" s="284"/>
      <c r="AC594" s="284">
        <v>45819</v>
      </c>
      <c r="AD594" s="501"/>
      <c r="AE594" s="286"/>
      <c r="AF594" s="288"/>
      <c r="AG594" s="288"/>
      <c r="AH594" s="288"/>
      <c r="AI594" s="288"/>
      <c r="AJ594" s="288"/>
      <c r="AK594" s="288"/>
      <c r="AL594" s="288"/>
      <c r="AM594" s="288"/>
      <c r="AN594" s="288"/>
      <c r="AO594" s="288"/>
      <c r="AP594" s="288"/>
      <c r="AQ594" s="288"/>
      <c r="AR594" s="288"/>
      <c r="AS594" s="288"/>
      <c r="AT594" s="288"/>
      <c r="AU594" s="288"/>
      <c r="AV594" s="288"/>
      <c r="AW594" s="288"/>
      <c r="AX594" s="288"/>
      <c r="AY594" s="288"/>
      <c r="AZ594" s="288"/>
    </row>
    <row r="595" spans="1:52" s="297" customFormat="1" ht="24.95" hidden="1" customHeight="1" x14ac:dyDescent="0.35">
      <c r="A595" s="487" t="s">
        <v>1407</v>
      </c>
      <c r="B595" s="502">
        <v>26186</v>
      </c>
      <c r="C595" s="489">
        <v>55000</v>
      </c>
      <c r="D595" s="522" t="s">
        <v>48</v>
      </c>
      <c r="E595" s="542" t="s">
        <v>227</v>
      </c>
      <c r="F595" s="488" t="s">
        <v>1408</v>
      </c>
      <c r="G595" s="488" t="s">
        <v>36</v>
      </c>
      <c r="H595" s="523" t="s">
        <v>37</v>
      </c>
      <c r="I595" s="523" t="s">
        <v>281</v>
      </c>
      <c r="J595" s="523" t="s">
        <v>120</v>
      </c>
      <c r="K595" s="523"/>
      <c r="L595" s="490">
        <v>45768</v>
      </c>
      <c r="M595" s="506" t="s">
        <v>913</v>
      </c>
      <c r="N595" s="525" t="s">
        <v>40</v>
      </c>
      <c r="O595" s="538">
        <f>4074+400</f>
        <v>4474</v>
      </c>
      <c r="P595" s="488" t="s">
        <v>41</v>
      </c>
      <c r="Q595" s="519">
        <f>+O595/C595</f>
        <v>8.134545454545454E-2</v>
      </c>
      <c r="R595" s="490">
        <v>45815</v>
      </c>
      <c r="S595" s="526" t="s">
        <v>65</v>
      </c>
      <c r="T595" s="490">
        <v>45825</v>
      </c>
      <c r="U595" s="527" t="s">
        <v>76</v>
      </c>
      <c r="V595" s="490" t="s">
        <v>1397</v>
      </c>
      <c r="W595" s="498" t="s">
        <v>67</v>
      </c>
      <c r="X595" s="528">
        <f>137500-13750</f>
        <v>123750</v>
      </c>
      <c r="Y595" s="498" t="s">
        <v>68</v>
      </c>
      <c r="Z595" s="498"/>
      <c r="AA595" s="284"/>
      <c r="AB595" s="284"/>
      <c r="AC595" s="284">
        <v>45825</v>
      </c>
      <c r="AD595" s="525"/>
      <c r="AE595" s="298"/>
      <c r="AF595" s="298"/>
      <c r="AG595" s="298"/>
      <c r="AH595" s="298"/>
      <c r="AI595" s="298"/>
      <c r="AJ595" s="298"/>
      <c r="AK595" s="298"/>
      <c r="AL595" s="298"/>
      <c r="AM595" s="298"/>
      <c r="AN595" s="298"/>
      <c r="AO595" s="298"/>
      <c r="AP595" s="298"/>
      <c r="AQ595" s="298"/>
      <c r="AR595" s="298"/>
      <c r="AS595" s="298"/>
      <c r="AT595" s="298"/>
      <c r="AU595" s="298"/>
      <c r="AV595" s="298"/>
    </row>
    <row r="596" spans="1:52" s="288" customFormat="1" ht="27" hidden="1" customHeight="1" x14ac:dyDescent="0.3">
      <c r="A596" s="587" t="s">
        <v>615</v>
      </c>
      <c r="B596" s="488">
        <v>28978</v>
      </c>
      <c r="C596" s="489">
        <v>44000</v>
      </c>
      <c r="D596" s="488" t="s">
        <v>105</v>
      </c>
      <c r="E596" s="488" t="s">
        <v>616</v>
      </c>
      <c r="F596" s="502" t="s">
        <v>1409</v>
      </c>
      <c r="G596" s="522" t="s">
        <v>130</v>
      </c>
      <c r="H596" s="537" t="s">
        <v>51</v>
      </c>
      <c r="I596" s="537" t="s">
        <v>52</v>
      </c>
      <c r="J596" s="537" t="s">
        <v>156</v>
      </c>
      <c r="K596" s="537"/>
      <c r="L596" s="490">
        <v>45754</v>
      </c>
      <c r="M596" s="506"/>
      <c r="N596" s="503"/>
      <c r="O596" s="538"/>
      <c r="P596" s="488"/>
      <c r="Q596" s="519"/>
      <c r="R596" s="548">
        <v>45793</v>
      </c>
      <c r="S596" s="492" t="s">
        <v>1410</v>
      </c>
      <c r="T596" s="603">
        <v>45828</v>
      </c>
      <c r="U596" s="527" t="s">
        <v>76</v>
      </c>
      <c r="V596" s="490" t="s">
        <v>1404</v>
      </c>
      <c r="W596" s="498" t="s">
        <v>67</v>
      </c>
      <c r="X596" s="536">
        <v>55000</v>
      </c>
      <c r="Y596" s="535" t="s">
        <v>46</v>
      </c>
      <c r="Z596" s="579"/>
      <c r="AA596" s="499"/>
      <c r="AB596" s="284">
        <v>45825</v>
      </c>
      <c r="AC596" s="284"/>
      <c r="AD596" s="293"/>
      <c r="AE596" s="396"/>
    </row>
    <row r="597" spans="1:52" s="413" customFormat="1" ht="24.95" hidden="1" customHeight="1" x14ac:dyDescent="0.3">
      <c r="A597" s="508" t="s">
        <v>251</v>
      </c>
      <c r="B597" s="509">
        <v>29276</v>
      </c>
      <c r="C597" s="510">
        <v>40500</v>
      </c>
      <c r="D597" s="509" t="s">
        <v>249</v>
      </c>
      <c r="E597" s="509" t="s">
        <v>421</v>
      </c>
      <c r="F597" s="509"/>
      <c r="G597" s="509"/>
      <c r="H597" s="509" t="s">
        <v>37</v>
      </c>
      <c r="I597" s="509" t="s">
        <v>253</v>
      </c>
      <c r="J597" s="509" t="s">
        <v>62</v>
      </c>
      <c r="K597" s="509"/>
      <c r="L597" s="520">
        <v>45825</v>
      </c>
      <c r="M597" s="511"/>
      <c r="N597" s="509" t="s">
        <v>103</v>
      </c>
      <c r="O597" s="512">
        <v>6800</v>
      </c>
      <c r="P597" s="509" t="s">
        <v>80</v>
      </c>
      <c r="Q597" s="613">
        <f>+O597/C597</f>
        <v>0.16790123456790124</v>
      </c>
      <c r="R597" s="514"/>
      <c r="S597" s="513"/>
      <c r="T597" s="515"/>
      <c r="U597" s="516" t="s">
        <v>66</v>
      </c>
      <c r="V597" s="511" t="s">
        <v>1404</v>
      </c>
      <c r="W597" s="515" t="s">
        <v>45</v>
      </c>
      <c r="X597" s="517">
        <v>128790</v>
      </c>
      <c r="Y597" s="515" t="s">
        <v>215</v>
      </c>
      <c r="Z597" s="652"/>
      <c r="AA597" s="507"/>
      <c r="AB597" s="507"/>
      <c r="AC597" s="490"/>
      <c r="AD597" s="529" t="s">
        <v>1327</v>
      </c>
      <c r="AE597" s="286"/>
      <c r="AF597" s="288"/>
      <c r="AG597" s="288"/>
      <c r="AH597" s="288"/>
      <c r="AI597" s="288"/>
      <c r="AJ597" s="288"/>
      <c r="AK597" s="288"/>
      <c r="AL597" s="288"/>
      <c r="AM597" s="288"/>
      <c r="AN597" s="288"/>
      <c r="AO597" s="288"/>
      <c r="AP597" s="288"/>
      <c r="AQ597" s="288"/>
      <c r="AR597" s="288"/>
      <c r="AS597" s="288"/>
      <c r="AT597" s="288"/>
      <c r="AU597" s="288"/>
      <c r="AV597" s="288"/>
      <c r="AW597" s="288"/>
      <c r="AX597" s="288"/>
      <c r="AY597" s="288"/>
      <c r="AZ597" s="288"/>
    </row>
    <row r="598" spans="1:52" s="413" customFormat="1" ht="24.95" hidden="1" customHeight="1" x14ac:dyDescent="0.35">
      <c r="A598" s="588" t="s">
        <v>1297</v>
      </c>
      <c r="B598" s="591">
        <v>29988</v>
      </c>
      <c r="C598" s="602">
        <v>42000</v>
      </c>
      <c r="D598" s="591" t="s">
        <v>249</v>
      </c>
      <c r="E598" s="591" t="s">
        <v>1411</v>
      </c>
      <c r="F598" s="591"/>
      <c r="G598" s="591"/>
      <c r="H598" s="591" t="s">
        <v>37</v>
      </c>
      <c r="I598" s="591" t="s">
        <v>720</v>
      </c>
      <c r="J598" s="591" t="s">
        <v>62</v>
      </c>
      <c r="K598" s="591"/>
      <c r="L598" s="610">
        <v>45828</v>
      </c>
      <c r="M598" s="596"/>
      <c r="N598" s="591" t="s">
        <v>434</v>
      </c>
      <c r="O598" s="624">
        <f>3660*1.21</f>
        <v>4428.5999999999995</v>
      </c>
      <c r="P598" s="591"/>
      <c r="Q598" s="625">
        <f>+O598/C598</f>
        <v>0.10544285714285713</v>
      </c>
      <c r="R598" s="626"/>
      <c r="S598" s="627"/>
      <c r="T598" s="629">
        <v>45838</v>
      </c>
      <c r="U598" s="628" t="s">
        <v>66</v>
      </c>
      <c r="V598" s="596" t="s">
        <v>1412</v>
      </c>
      <c r="W598" s="594" t="s">
        <v>1252</v>
      </c>
      <c r="X598" s="517">
        <v>151200</v>
      </c>
      <c r="Y598" s="515" t="s">
        <v>215</v>
      </c>
      <c r="Z598" s="515"/>
      <c r="AA598" s="518"/>
      <c r="AB598" s="518"/>
      <c r="AC598" s="490"/>
      <c r="AD598" s="546"/>
      <c r="AE598" s="286"/>
      <c r="AF598" s="288"/>
      <c r="AG598" s="288"/>
      <c r="AH598" s="288"/>
      <c r="AI598" s="288"/>
      <c r="AJ598" s="288"/>
      <c r="AK598" s="288"/>
      <c r="AL598" s="288"/>
      <c r="AM598" s="288"/>
      <c r="AN598" s="288"/>
      <c r="AO598" s="288"/>
      <c r="AP598" s="288"/>
      <c r="AQ598" s="288"/>
      <c r="AR598" s="288"/>
      <c r="AS598" s="288"/>
      <c r="AT598" s="288"/>
      <c r="AU598" s="288"/>
      <c r="AV598" s="288"/>
      <c r="AW598" s="288"/>
      <c r="AX598" s="288"/>
      <c r="AY598" s="288"/>
      <c r="AZ598" s="288"/>
    </row>
    <row r="599" spans="1:52" s="413" customFormat="1" ht="24.95" hidden="1" customHeight="1" x14ac:dyDescent="0.3">
      <c r="A599" s="508" t="s">
        <v>1413</v>
      </c>
      <c r="B599" s="509">
        <v>30566</v>
      </c>
      <c r="C599" s="530">
        <v>50000</v>
      </c>
      <c r="D599" s="531" t="s">
        <v>249</v>
      </c>
      <c r="E599" s="531" t="s">
        <v>1414</v>
      </c>
      <c r="F599" s="509"/>
      <c r="G599" s="509"/>
      <c r="H599" s="531" t="s">
        <v>60</v>
      </c>
      <c r="I599" s="509"/>
      <c r="J599" s="509" t="s">
        <v>62</v>
      </c>
      <c r="K599" s="509"/>
      <c r="L599" s="520" t="s">
        <v>1415</v>
      </c>
      <c r="M599" s="511"/>
      <c r="N599" s="509"/>
      <c r="O599" s="512"/>
      <c r="P599" s="509"/>
      <c r="Q599" s="513"/>
      <c r="R599" s="514"/>
      <c r="S599" s="513"/>
      <c r="T599" s="511">
        <v>45831</v>
      </c>
      <c r="U599" s="539" t="s">
        <v>66</v>
      </c>
      <c r="V599" s="511" t="s">
        <v>1397</v>
      </c>
      <c r="W599" s="515" t="s">
        <v>67</v>
      </c>
      <c r="X599" s="517">
        <v>68220</v>
      </c>
      <c r="Y599" s="515" t="s">
        <v>215</v>
      </c>
      <c r="Z599" s="652"/>
      <c r="AA599" s="507"/>
      <c r="AB599" s="507"/>
      <c r="AC599" s="490"/>
      <c r="AD599" s="540"/>
      <c r="AE599" s="286"/>
      <c r="AF599" s="288"/>
      <c r="AG599" s="288"/>
      <c r="AH599" s="288"/>
      <c r="AI599" s="288"/>
      <c r="AJ599" s="288"/>
      <c r="AK599" s="288"/>
      <c r="AL599" s="288"/>
      <c r="AM599" s="288"/>
      <c r="AN599" s="288"/>
      <c r="AO599" s="288"/>
      <c r="AP599" s="288"/>
      <c r="AQ599" s="288"/>
      <c r="AR599" s="288"/>
      <c r="AS599" s="288"/>
      <c r="AT599" s="288"/>
      <c r="AU599" s="288"/>
      <c r="AV599" s="288"/>
      <c r="AW599" s="288"/>
      <c r="AX599" s="288"/>
      <c r="AY599" s="288"/>
      <c r="AZ599" s="288"/>
    </row>
    <row r="600" spans="1:52" s="288" customFormat="1" ht="24.95" hidden="1" customHeight="1" x14ac:dyDescent="0.3">
      <c r="A600" s="587" t="s">
        <v>47</v>
      </c>
      <c r="B600" s="488">
        <v>27255</v>
      </c>
      <c r="C600" s="489">
        <v>55000</v>
      </c>
      <c r="D600" s="488" t="s">
        <v>48</v>
      </c>
      <c r="E600" s="488" t="s">
        <v>49</v>
      </c>
      <c r="F600" s="488" t="s">
        <v>1416</v>
      </c>
      <c r="G600" s="488" t="s">
        <v>36</v>
      </c>
      <c r="H600" s="502" t="s">
        <v>51</v>
      </c>
      <c r="I600" s="502" t="s">
        <v>52</v>
      </c>
      <c r="J600" s="502" t="s">
        <v>53</v>
      </c>
      <c r="K600" s="502"/>
      <c r="L600" s="490">
        <v>45796</v>
      </c>
      <c r="M600" s="490"/>
      <c r="N600" s="503"/>
      <c r="O600" s="491"/>
      <c r="P600" s="488"/>
      <c r="Q600" s="519"/>
      <c r="R600" s="490"/>
      <c r="S600" s="492"/>
      <c r="T600" s="490">
        <v>45833</v>
      </c>
      <c r="U600" s="527" t="s">
        <v>43</v>
      </c>
      <c r="V600" s="490" t="s">
        <v>1412</v>
      </c>
      <c r="W600" s="498" t="s">
        <v>45</v>
      </c>
      <c r="X600" s="497">
        <v>26718</v>
      </c>
      <c r="Y600" s="498" t="s">
        <v>46</v>
      </c>
      <c r="Z600" s="535"/>
      <c r="AA600" s="507"/>
      <c r="AB600" s="284"/>
      <c r="AC600" s="284"/>
      <c r="AD600" s="293"/>
      <c r="AE600" s="396"/>
    </row>
    <row r="601" spans="1:52" s="288" customFormat="1" ht="24.75" hidden="1" customHeight="1" x14ac:dyDescent="0.3">
      <c r="A601" s="587" t="s">
        <v>47</v>
      </c>
      <c r="B601" s="488">
        <v>27256</v>
      </c>
      <c r="C601" s="489">
        <v>55000</v>
      </c>
      <c r="D601" s="488" t="s">
        <v>48</v>
      </c>
      <c r="E601" s="488" t="s">
        <v>49</v>
      </c>
      <c r="F601" s="488" t="s">
        <v>1417</v>
      </c>
      <c r="G601" s="488" t="s">
        <v>36</v>
      </c>
      <c r="H601" s="502" t="s">
        <v>51</v>
      </c>
      <c r="I601" s="502" t="s">
        <v>52</v>
      </c>
      <c r="J601" s="502" t="s">
        <v>53</v>
      </c>
      <c r="K601" s="502"/>
      <c r="L601" s="490">
        <v>45796</v>
      </c>
      <c r="M601" s="490"/>
      <c r="N601" s="503"/>
      <c r="O601" s="491"/>
      <c r="P601" s="488"/>
      <c r="Q601" s="519"/>
      <c r="R601" s="548"/>
      <c r="S601" s="492"/>
      <c r="T601" s="490">
        <v>45833</v>
      </c>
      <c r="U601" s="527" t="s">
        <v>43</v>
      </c>
      <c r="V601" s="490" t="s">
        <v>1412</v>
      </c>
      <c r="W601" s="498" t="s">
        <v>45</v>
      </c>
      <c r="X601" s="497">
        <v>26718</v>
      </c>
      <c r="Y601" s="498" t="s">
        <v>46</v>
      </c>
      <c r="Z601" s="535"/>
      <c r="AA601" s="507"/>
      <c r="AB601" s="284"/>
      <c r="AC601" s="284"/>
      <c r="AD601" s="293"/>
      <c r="AE601" s="396"/>
    </row>
    <row r="602" spans="1:52" s="413" customFormat="1" ht="24.95" hidden="1" customHeight="1" x14ac:dyDescent="0.3">
      <c r="A602" s="586" t="s">
        <v>259</v>
      </c>
      <c r="B602" s="509">
        <v>28363</v>
      </c>
      <c r="C602" s="510">
        <v>40500</v>
      </c>
      <c r="D602" s="509">
        <v>18</v>
      </c>
      <c r="E602" s="509" t="s">
        <v>819</v>
      </c>
      <c r="F602" s="509"/>
      <c r="G602" s="509"/>
      <c r="H602" s="509" t="s">
        <v>37</v>
      </c>
      <c r="I602" s="509" t="s">
        <v>261</v>
      </c>
      <c r="J602" s="509" t="s">
        <v>53</v>
      </c>
      <c r="K602" s="509"/>
      <c r="L602" s="520">
        <v>45834</v>
      </c>
      <c r="M602" s="511"/>
      <c r="N602" s="509"/>
      <c r="O602" s="512"/>
      <c r="P602" s="509"/>
      <c r="Q602" s="513"/>
      <c r="R602" s="514"/>
      <c r="S602" s="513"/>
      <c r="T602" s="515"/>
      <c r="U602" s="516" t="s">
        <v>66</v>
      </c>
      <c r="V602" s="511" t="s">
        <v>1404</v>
      </c>
      <c r="W602" s="515" t="s">
        <v>45</v>
      </c>
      <c r="X602" s="517">
        <v>56700</v>
      </c>
      <c r="Y602" s="515" t="s">
        <v>215</v>
      </c>
      <c r="Z602" s="652"/>
      <c r="AA602" s="507"/>
      <c r="AB602" s="507"/>
      <c r="AC602" s="507"/>
      <c r="AD602" s="529" t="s">
        <v>262</v>
      </c>
      <c r="AE602" s="286"/>
      <c r="AF602" s="288"/>
      <c r="AG602" s="288"/>
      <c r="AH602" s="288"/>
      <c r="AI602" s="288"/>
      <c r="AJ602" s="288"/>
      <c r="AK602" s="288"/>
      <c r="AL602" s="288"/>
      <c r="AM602" s="288"/>
      <c r="AN602" s="288"/>
      <c r="AO602" s="288"/>
      <c r="AP602" s="288"/>
      <c r="AQ602" s="288"/>
      <c r="AR602" s="288"/>
      <c r="AS602" s="288"/>
      <c r="AT602" s="288"/>
      <c r="AU602" s="288"/>
      <c r="AV602" s="288"/>
      <c r="AW602" s="288"/>
      <c r="AX602" s="288"/>
      <c r="AY602" s="288"/>
      <c r="AZ602" s="288"/>
    </row>
    <row r="603" spans="1:52" s="413" customFormat="1" ht="24.95" hidden="1" customHeight="1" x14ac:dyDescent="0.35">
      <c r="A603" s="586" t="s">
        <v>320</v>
      </c>
      <c r="B603" s="509">
        <v>28286</v>
      </c>
      <c r="C603" s="510">
        <v>36900</v>
      </c>
      <c r="D603" s="509" t="s">
        <v>249</v>
      </c>
      <c r="E603" s="509" t="s">
        <v>321</v>
      </c>
      <c r="F603" s="509"/>
      <c r="G603" s="509"/>
      <c r="H603" s="509" t="s">
        <v>164</v>
      </c>
      <c r="I603" s="509" t="s">
        <v>266</v>
      </c>
      <c r="J603" s="509" t="s">
        <v>62</v>
      </c>
      <c r="K603" s="509"/>
      <c r="L603" s="520">
        <v>45845</v>
      </c>
      <c r="M603" s="511"/>
      <c r="N603" s="509" t="s">
        <v>403</v>
      </c>
      <c r="O603" s="512">
        <v>2390</v>
      </c>
      <c r="P603" s="509" t="s">
        <v>80</v>
      </c>
      <c r="Q603" s="657">
        <f>+O603/C603</f>
        <v>6.4769647696476959E-2</v>
      </c>
      <c r="R603" s="543"/>
      <c r="S603" s="544"/>
      <c r="T603" s="545"/>
      <c r="U603" s="539" t="s">
        <v>66</v>
      </c>
      <c r="V603" s="511" t="s">
        <v>1418</v>
      </c>
      <c r="W603" s="545" t="s">
        <v>45</v>
      </c>
      <c r="X603" s="517">
        <v>55440</v>
      </c>
      <c r="Y603" s="515" t="s">
        <v>215</v>
      </c>
      <c r="Z603" s="515"/>
      <c r="AA603" s="518"/>
      <c r="AB603" s="518"/>
      <c r="AC603" s="490"/>
      <c r="AD603" s="501"/>
      <c r="AE603" s="286"/>
      <c r="AF603" s="288"/>
      <c r="AG603" s="288"/>
      <c r="AH603" s="288"/>
      <c r="AI603" s="288"/>
      <c r="AJ603" s="288"/>
      <c r="AK603" s="288"/>
      <c r="AL603" s="288"/>
      <c r="AM603" s="288"/>
      <c r="AN603" s="288"/>
      <c r="AO603" s="288"/>
      <c r="AP603" s="288"/>
      <c r="AQ603" s="288"/>
      <c r="AR603" s="288"/>
      <c r="AS603" s="288"/>
      <c r="AT603" s="288"/>
      <c r="AU603" s="288"/>
      <c r="AV603" s="288"/>
      <c r="AW603" s="288"/>
      <c r="AX603" s="288"/>
      <c r="AY603" s="288"/>
      <c r="AZ603" s="288"/>
    </row>
    <row r="604" spans="1:52" s="413" customFormat="1" ht="24.95" hidden="1" customHeight="1" x14ac:dyDescent="0.3">
      <c r="A604" s="586" t="s">
        <v>1136</v>
      </c>
      <c r="B604" s="509">
        <v>30268</v>
      </c>
      <c r="C604" s="510">
        <v>44000</v>
      </c>
      <c r="D604" s="509" t="s">
        <v>249</v>
      </c>
      <c r="E604" s="509" t="s">
        <v>841</v>
      </c>
      <c r="F604" s="509" t="s">
        <v>1419</v>
      </c>
      <c r="G604" s="509"/>
      <c r="H604" s="509" t="s">
        <v>60</v>
      </c>
      <c r="I604" s="509" t="s">
        <v>213</v>
      </c>
      <c r="J604" s="509"/>
      <c r="K604" s="509"/>
      <c r="L604" s="511">
        <v>45824</v>
      </c>
      <c r="M604" s="511"/>
      <c r="N604" s="509" t="s">
        <v>1278</v>
      </c>
      <c r="O604" s="512">
        <v>4000</v>
      </c>
      <c r="P604" s="509" t="s">
        <v>80</v>
      </c>
      <c r="Q604" s="613">
        <f>+O604/C604</f>
        <v>9.0909090909090912E-2</v>
      </c>
      <c r="R604" s="514"/>
      <c r="S604" s="513"/>
      <c r="T604" s="511">
        <v>45833</v>
      </c>
      <c r="U604" s="516" t="s">
        <v>66</v>
      </c>
      <c r="V604" s="511" t="s">
        <v>1404</v>
      </c>
      <c r="W604" s="515" t="s">
        <v>67</v>
      </c>
      <c r="X604" s="517">
        <v>103080</v>
      </c>
      <c r="Y604" s="515" t="s">
        <v>215</v>
      </c>
      <c r="Z604" s="652"/>
      <c r="AA604" s="507"/>
      <c r="AB604" s="507"/>
      <c r="AC604" s="507"/>
      <c r="AD604" s="488"/>
      <c r="AE604" s="286" t="s">
        <v>378</v>
      </c>
      <c r="AF604" s="288"/>
      <c r="AG604" s="288"/>
      <c r="AH604" s="288"/>
      <c r="AI604" s="288"/>
      <c r="AJ604" s="288"/>
      <c r="AK604" s="288"/>
      <c r="AL604" s="288"/>
      <c r="AM604" s="288"/>
      <c r="AN604" s="288"/>
      <c r="AO604" s="288"/>
      <c r="AP604" s="288"/>
      <c r="AQ604" s="288"/>
      <c r="AR604" s="288"/>
      <c r="AS604" s="288"/>
      <c r="AT604" s="288"/>
      <c r="AU604" s="288"/>
      <c r="AV604" s="288"/>
      <c r="AW604" s="288"/>
      <c r="AX604" s="288"/>
      <c r="AY604" s="288"/>
      <c r="AZ604" s="288"/>
    </row>
    <row r="605" spans="1:52" s="297" customFormat="1" ht="23.25" hidden="1" customHeight="1" x14ac:dyDescent="0.35">
      <c r="A605" s="587" t="s">
        <v>210</v>
      </c>
      <c r="B605" s="502">
        <v>29793</v>
      </c>
      <c r="C605" s="489">
        <v>57200</v>
      </c>
      <c r="D605" s="488" t="s">
        <v>48</v>
      </c>
      <c r="E605" s="542" t="s">
        <v>211</v>
      </c>
      <c r="F605" s="502" t="s">
        <v>1420</v>
      </c>
      <c r="G605" s="488" t="s">
        <v>36</v>
      </c>
      <c r="H605" s="523" t="s">
        <v>60</v>
      </c>
      <c r="I605" s="523" t="s">
        <v>213</v>
      </c>
      <c r="J605" s="523"/>
      <c r="K605" s="523"/>
      <c r="L605" s="490">
        <v>45788</v>
      </c>
      <c r="M605" s="525"/>
      <c r="N605" s="525"/>
      <c r="O605" s="541"/>
      <c r="P605" s="488"/>
      <c r="Q605" s="525"/>
      <c r="R605" s="525"/>
      <c r="S605" s="526"/>
      <c r="T605" s="490">
        <v>45828</v>
      </c>
      <c r="U605" s="527" t="s">
        <v>43</v>
      </c>
      <c r="V605" s="490" t="s">
        <v>1404</v>
      </c>
      <c r="W605" s="498" t="s">
        <v>67</v>
      </c>
      <c r="X605" s="604">
        <v>48722</v>
      </c>
      <c r="Y605" s="498" t="s">
        <v>215</v>
      </c>
      <c r="Z605" s="498"/>
      <c r="AA605" s="518"/>
      <c r="AB605" s="525"/>
      <c r="AC605" s="525"/>
      <c r="AD605" s="525"/>
      <c r="AE605" s="298"/>
      <c r="AF605" s="298"/>
      <c r="AG605" s="298"/>
      <c r="AH605" s="298"/>
      <c r="AI605" s="298"/>
      <c r="AJ605" s="298"/>
      <c r="AK605" s="298"/>
      <c r="AL605" s="298"/>
      <c r="AM605" s="298"/>
      <c r="AN605" s="298"/>
      <c r="AO605" s="298"/>
      <c r="AP605" s="298"/>
      <c r="AQ605" s="298"/>
      <c r="AR605" s="298"/>
      <c r="AS605" s="298"/>
      <c r="AT605" s="298"/>
      <c r="AU605" s="298"/>
      <c r="AV605" s="298"/>
    </row>
    <row r="606" spans="1:52" s="297" customFormat="1" ht="26.25" hidden="1" customHeight="1" x14ac:dyDescent="0.35">
      <c r="A606" s="487" t="s">
        <v>1421</v>
      </c>
      <c r="B606" s="502">
        <v>29698</v>
      </c>
      <c r="C606" s="489">
        <v>44000</v>
      </c>
      <c r="D606" s="522" t="s">
        <v>33</v>
      </c>
      <c r="E606" s="542" t="s">
        <v>186</v>
      </c>
      <c r="F606" s="502" t="s">
        <v>1422</v>
      </c>
      <c r="G606" s="488" t="s">
        <v>36</v>
      </c>
      <c r="H606" s="523" t="s">
        <v>37</v>
      </c>
      <c r="I606" s="523" t="s">
        <v>281</v>
      </c>
      <c r="J606" s="523" t="s">
        <v>120</v>
      </c>
      <c r="K606" s="523"/>
      <c r="L606" s="490">
        <v>45787</v>
      </c>
      <c r="M606" s="506" t="s">
        <v>39</v>
      </c>
      <c r="N606" s="525" t="s">
        <v>40</v>
      </c>
      <c r="O606" s="538">
        <f>4074+400</f>
        <v>4474</v>
      </c>
      <c r="P606" s="488" t="s">
        <v>41</v>
      </c>
      <c r="Q606" s="519">
        <f>+O606/C606</f>
        <v>0.10168181818181818</v>
      </c>
      <c r="R606" s="490">
        <v>45820</v>
      </c>
      <c r="S606" s="526" t="s">
        <v>65</v>
      </c>
      <c r="T606" s="490">
        <v>45830</v>
      </c>
      <c r="U606" s="527" t="s">
        <v>76</v>
      </c>
      <c r="V606" s="490" t="s">
        <v>1404</v>
      </c>
      <c r="W606" s="498" t="s">
        <v>67</v>
      </c>
      <c r="X606" s="528">
        <f>12660-3708</f>
        <v>8952</v>
      </c>
      <c r="Y606" s="498" t="s">
        <v>46</v>
      </c>
      <c r="Z606" s="535"/>
      <c r="AA606" s="507"/>
      <c r="AB606" s="525"/>
      <c r="AC606" s="525"/>
      <c r="AD606" s="525"/>
      <c r="AE606" s="298"/>
      <c r="AF606" s="298"/>
      <c r="AG606" s="298"/>
      <c r="AH606" s="298"/>
      <c r="AI606" s="298"/>
      <c r="AJ606" s="298"/>
      <c r="AK606" s="298"/>
      <c r="AL606" s="298"/>
      <c r="AM606" s="298"/>
      <c r="AN606" s="298"/>
      <c r="AO606" s="298"/>
      <c r="AP606" s="298"/>
      <c r="AQ606" s="298"/>
      <c r="AR606" s="298"/>
      <c r="AS606" s="298"/>
      <c r="AT606" s="298"/>
      <c r="AU606" s="298"/>
      <c r="AV606" s="298"/>
    </row>
    <row r="607" spans="1:52" s="297" customFormat="1" ht="24.95" hidden="1" customHeight="1" x14ac:dyDescent="0.35">
      <c r="A607" s="487" t="s">
        <v>1421</v>
      </c>
      <c r="B607" s="502">
        <v>29699</v>
      </c>
      <c r="C607" s="489">
        <v>44000</v>
      </c>
      <c r="D607" s="522" t="s">
        <v>33</v>
      </c>
      <c r="E607" s="542" t="s">
        <v>186</v>
      </c>
      <c r="F607" s="502" t="s">
        <v>1423</v>
      </c>
      <c r="G607" s="488" t="s">
        <v>36</v>
      </c>
      <c r="H607" s="523" t="s">
        <v>37</v>
      </c>
      <c r="I607" s="523" t="s">
        <v>281</v>
      </c>
      <c r="J607" s="523" t="s">
        <v>120</v>
      </c>
      <c r="K607" s="523"/>
      <c r="L607" s="490">
        <v>45787</v>
      </c>
      <c r="M607" s="506" t="s">
        <v>39</v>
      </c>
      <c r="N607" s="525" t="s">
        <v>40</v>
      </c>
      <c r="O607" s="538">
        <f>4074+400</f>
        <v>4474</v>
      </c>
      <c r="P607" s="488" t="s">
        <v>41</v>
      </c>
      <c r="Q607" s="519">
        <f>+O607/C607</f>
        <v>0.10168181818181818</v>
      </c>
      <c r="R607" s="490">
        <v>45820</v>
      </c>
      <c r="S607" s="492" t="s">
        <v>65</v>
      </c>
      <c r="T607" s="490">
        <v>45830</v>
      </c>
      <c r="U607" s="527" t="s">
        <v>76</v>
      </c>
      <c r="V607" s="490" t="s">
        <v>1404</v>
      </c>
      <c r="W607" s="498" t="s">
        <v>67</v>
      </c>
      <c r="X607" s="528">
        <f>12660-3708</f>
        <v>8952</v>
      </c>
      <c r="Y607" s="498" t="s">
        <v>46</v>
      </c>
      <c r="Z607" s="535"/>
      <c r="AA607" s="507"/>
      <c r="AB607" s="525"/>
      <c r="AC607" s="525"/>
      <c r="AD607" s="525"/>
      <c r="AE607" s="298"/>
      <c r="AF607" s="298"/>
      <c r="AG607" s="298"/>
      <c r="AH607" s="298"/>
      <c r="AI607" s="298"/>
      <c r="AJ607" s="298"/>
      <c r="AK607" s="298"/>
      <c r="AL607" s="298"/>
      <c r="AM607" s="298"/>
      <c r="AN607" s="298"/>
      <c r="AO607" s="298"/>
      <c r="AP607" s="298"/>
      <c r="AQ607" s="298"/>
      <c r="AR607" s="298"/>
      <c r="AS607" s="298"/>
      <c r="AT607" s="298"/>
      <c r="AU607" s="298"/>
      <c r="AV607" s="298"/>
    </row>
    <row r="608" spans="1:52" s="297" customFormat="1" ht="24.95" hidden="1" customHeight="1" x14ac:dyDescent="0.35">
      <c r="A608" s="487" t="s">
        <v>1421</v>
      </c>
      <c r="B608" s="502">
        <v>29697</v>
      </c>
      <c r="C608" s="489">
        <v>4000</v>
      </c>
      <c r="D608" s="522" t="s">
        <v>33</v>
      </c>
      <c r="E608" s="542" t="s">
        <v>186</v>
      </c>
      <c r="F608" s="502" t="s">
        <v>1424</v>
      </c>
      <c r="G608" s="488" t="s">
        <v>36</v>
      </c>
      <c r="H608" s="523" t="s">
        <v>37</v>
      </c>
      <c r="I608" s="523" t="s">
        <v>281</v>
      </c>
      <c r="J608" s="523" t="s">
        <v>120</v>
      </c>
      <c r="K608" s="523"/>
      <c r="L608" s="490">
        <v>45787</v>
      </c>
      <c r="M608" s="506" t="s">
        <v>39</v>
      </c>
      <c r="N608" s="525" t="s">
        <v>40</v>
      </c>
      <c r="O608" s="538">
        <f>4074+400</f>
        <v>4474</v>
      </c>
      <c r="P608" s="488" t="s">
        <v>41</v>
      </c>
      <c r="Q608" s="519">
        <f>+O608/C608</f>
        <v>1.1185</v>
      </c>
      <c r="R608" s="490">
        <v>45820</v>
      </c>
      <c r="S608" s="526" t="s">
        <v>65</v>
      </c>
      <c r="T608" s="603">
        <v>45832</v>
      </c>
      <c r="U608" s="527" t="s">
        <v>76</v>
      </c>
      <c r="V608" s="490" t="s">
        <v>1404</v>
      </c>
      <c r="W608" s="498" t="s">
        <v>67</v>
      </c>
      <c r="X608" s="528">
        <f>12660-3708</f>
        <v>8952</v>
      </c>
      <c r="Y608" s="498" t="s">
        <v>46</v>
      </c>
      <c r="Z608" s="535"/>
      <c r="AA608" s="507"/>
      <c r="AB608" s="525"/>
      <c r="AC608" s="525"/>
      <c r="AD608" s="525"/>
      <c r="AE608" s="298"/>
      <c r="AF608" s="298"/>
      <c r="AG608" s="298"/>
      <c r="AH608" s="298"/>
      <c r="AI608" s="298"/>
      <c r="AJ608" s="298"/>
      <c r="AK608" s="298"/>
      <c r="AL608" s="298"/>
      <c r="AM608" s="298"/>
      <c r="AN608" s="298"/>
      <c r="AO608" s="298"/>
      <c r="AP608" s="298"/>
      <c r="AQ608" s="298"/>
      <c r="AR608" s="298"/>
      <c r="AS608" s="298"/>
      <c r="AT608" s="298"/>
      <c r="AU608" s="298"/>
      <c r="AV608" s="298"/>
    </row>
    <row r="609" spans="1:52" s="288" customFormat="1" ht="24.95" hidden="1" customHeight="1" x14ac:dyDescent="0.3">
      <c r="A609" s="487" t="s">
        <v>470</v>
      </c>
      <c r="B609" s="488">
        <v>28984</v>
      </c>
      <c r="C609" s="489">
        <v>55000</v>
      </c>
      <c r="D609" s="488" t="s">
        <v>33</v>
      </c>
      <c r="E609" s="488" t="s">
        <v>471</v>
      </c>
      <c r="F609" s="488" t="s">
        <v>1425</v>
      </c>
      <c r="G609" s="488" t="s">
        <v>687</v>
      </c>
      <c r="H609" s="502" t="s">
        <v>109</v>
      </c>
      <c r="I609" s="502" t="s">
        <v>52</v>
      </c>
      <c r="J609" s="502" t="s">
        <v>473</v>
      </c>
      <c r="K609" s="502"/>
      <c r="L609" s="490">
        <v>45755</v>
      </c>
      <c r="M609" s="490"/>
      <c r="N609" s="503"/>
      <c r="O609" s="491"/>
      <c r="P609" s="488"/>
      <c r="Q609" s="519"/>
      <c r="R609" s="548"/>
      <c r="S609" s="492"/>
      <c r="T609" s="490">
        <v>45821</v>
      </c>
      <c r="U609" s="527" t="s">
        <v>43</v>
      </c>
      <c r="V609" s="490" t="s">
        <v>1397</v>
      </c>
      <c r="W609" s="498" t="s">
        <v>67</v>
      </c>
      <c r="X609" s="497">
        <v>50145</v>
      </c>
      <c r="Y609" s="498" t="s">
        <v>68</v>
      </c>
      <c r="Z609" s="498"/>
      <c r="AA609" s="284"/>
      <c r="AB609" s="284"/>
      <c r="AC609" s="284"/>
      <c r="AD609" s="293"/>
      <c r="AE609" s="396"/>
    </row>
    <row r="610" spans="1:52" s="288" customFormat="1" ht="24.95" hidden="1" customHeight="1" x14ac:dyDescent="0.35">
      <c r="A610" s="606" t="s">
        <v>1306</v>
      </c>
      <c r="B610" s="522">
        <v>30005</v>
      </c>
      <c r="C610" s="521">
        <v>26400</v>
      </c>
      <c r="D610" s="488" t="s">
        <v>33</v>
      </c>
      <c r="E610" s="522" t="s">
        <v>288</v>
      </c>
      <c r="F610" s="502" t="s">
        <v>1426</v>
      </c>
      <c r="G610" s="488" t="s">
        <v>108</v>
      </c>
      <c r="H610" s="537" t="s">
        <v>37</v>
      </c>
      <c r="I610" s="537" t="s">
        <v>97</v>
      </c>
      <c r="J610" s="537" t="s">
        <v>98</v>
      </c>
      <c r="K610" s="537"/>
      <c r="L610" s="490">
        <v>45803</v>
      </c>
      <c r="M610" s="506" t="s">
        <v>487</v>
      </c>
      <c r="N610" s="503" t="s">
        <v>40</v>
      </c>
      <c r="O610" s="538">
        <f>3055+400</f>
        <v>3455</v>
      </c>
      <c r="P610" s="488" t="s">
        <v>41</v>
      </c>
      <c r="Q610" s="519">
        <f>+O610/C610</f>
        <v>0.13087121212121211</v>
      </c>
      <c r="R610" s="493"/>
      <c r="S610" s="526"/>
      <c r="T610" s="490">
        <v>45838</v>
      </c>
      <c r="U610" s="505" t="s">
        <v>43</v>
      </c>
      <c r="V610" s="490" t="s">
        <v>1412</v>
      </c>
      <c r="W610" s="535" t="s">
        <v>45</v>
      </c>
      <c r="X610" s="536">
        <v>54690</v>
      </c>
      <c r="Y610" s="535" t="s">
        <v>68</v>
      </c>
      <c r="Z610" s="535"/>
      <c r="AA610" s="507"/>
      <c r="AB610" s="535"/>
      <c r="AC610" s="506"/>
      <c r="AD610" s="501"/>
      <c r="AE610" s="396"/>
    </row>
    <row r="611" spans="1:52" s="413" customFormat="1" ht="24.95" hidden="1" customHeight="1" x14ac:dyDescent="0.35">
      <c r="A611" s="508" t="s">
        <v>1297</v>
      </c>
      <c r="B611" s="509">
        <v>30342</v>
      </c>
      <c r="C611" s="510">
        <v>42000</v>
      </c>
      <c r="D611" s="509" t="s">
        <v>249</v>
      </c>
      <c r="E611" s="509" t="s">
        <v>605</v>
      </c>
      <c r="F611" s="509"/>
      <c r="G611" s="509"/>
      <c r="H611" s="509" t="s">
        <v>37</v>
      </c>
      <c r="I611" s="509" t="s">
        <v>720</v>
      </c>
      <c r="J611" s="509" t="s">
        <v>62</v>
      </c>
      <c r="K611" s="509"/>
      <c r="L611" s="520">
        <v>45821</v>
      </c>
      <c r="M611" s="511"/>
      <c r="N611" s="509" t="s">
        <v>103</v>
      </c>
      <c r="O611" s="512">
        <v>6975</v>
      </c>
      <c r="P611" s="509" t="s">
        <v>80</v>
      </c>
      <c r="Q611" s="613">
        <f>+O611/C611</f>
        <v>0.16607142857142856</v>
      </c>
      <c r="R611" s="543"/>
      <c r="S611" s="513"/>
      <c r="T611" s="545"/>
      <c r="U611" s="539" t="s">
        <v>66</v>
      </c>
      <c r="V611" s="511" t="s">
        <v>1397</v>
      </c>
      <c r="W611" s="545" t="s">
        <v>45</v>
      </c>
      <c r="X611" s="517">
        <v>141600</v>
      </c>
      <c r="Y611" s="515" t="s">
        <v>215</v>
      </c>
      <c r="Z611" s="515"/>
      <c r="AA611" s="518"/>
      <c r="AB611" s="518"/>
      <c r="AC611" s="490">
        <v>45825</v>
      </c>
      <c r="AD611" s="546"/>
      <c r="AE611" s="286"/>
      <c r="AF611" s="288"/>
      <c r="AG611" s="288"/>
      <c r="AH611" s="288"/>
      <c r="AI611" s="288"/>
      <c r="AJ611" s="288"/>
      <c r="AK611" s="288"/>
      <c r="AL611" s="288"/>
      <c r="AM611" s="288"/>
      <c r="AN611" s="288"/>
      <c r="AO611" s="288"/>
      <c r="AP611" s="288"/>
      <c r="AQ611" s="288"/>
      <c r="AR611" s="288"/>
      <c r="AS611" s="288"/>
      <c r="AT611" s="288"/>
      <c r="AU611" s="288"/>
      <c r="AV611" s="288"/>
      <c r="AW611" s="288"/>
      <c r="AX611" s="288"/>
      <c r="AY611" s="288"/>
      <c r="AZ611" s="288"/>
    </row>
    <row r="612" spans="1:52" s="413" customFormat="1" ht="24.95" hidden="1" customHeight="1" x14ac:dyDescent="0.3">
      <c r="A612" s="508" t="s">
        <v>1427</v>
      </c>
      <c r="B612" s="509">
        <v>29861</v>
      </c>
      <c r="C612" s="510">
        <v>40560</v>
      </c>
      <c r="D612" s="509" t="s">
        <v>249</v>
      </c>
      <c r="E612" s="509" t="s">
        <v>250</v>
      </c>
      <c r="F612" s="509"/>
      <c r="G612" s="509"/>
      <c r="H612" s="509" t="s">
        <v>60</v>
      </c>
      <c r="I612" s="509" t="s">
        <v>213</v>
      </c>
      <c r="J612" s="509" t="s">
        <v>62</v>
      </c>
      <c r="K612" s="509"/>
      <c r="L612" s="520" t="s">
        <v>1428</v>
      </c>
      <c r="M612" s="511"/>
      <c r="N612" s="509"/>
      <c r="O612" s="512"/>
      <c r="P612" s="509"/>
      <c r="Q612" s="512"/>
      <c r="R612" s="514"/>
      <c r="S612" s="513"/>
      <c r="T612" s="515"/>
      <c r="U612" s="516" t="s">
        <v>1429</v>
      </c>
      <c r="V612" s="511" t="s">
        <v>1430</v>
      </c>
      <c r="W612" s="515" t="s">
        <v>358</v>
      </c>
      <c r="X612" s="517">
        <v>71385</v>
      </c>
      <c r="Y612" s="515" t="s">
        <v>215</v>
      </c>
      <c r="Z612" s="652"/>
      <c r="AA612" s="507"/>
      <c r="AB612" s="507"/>
      <c r="AC612" s="490"/>
      <c r="AD612" s="529"/>
      <c r="AE612" s="286"/>
      <c r="AF612" s="288"/>
      <c r="AG612" s="288"/>
      <c r="AH612" s="288"/>
      <c r="AI612" s="288"/>
      <c r="AJ612" s="288"/>
      <c r="AK612" s="288"/>
      <c r="AL612" s="288"/>
      <c r="AM612" s="288"/>
      <c r="AN612" s="288"/>
      <c r="AO612" s="288"/>
      <c r="AP612" s="288"/>
      <c r="AQ612" s="288"/>
      <c r="AR612" s="288"/>
      <c r="AS612" s="288"/>
      <c r="AT612" s="288"/>
      <c r="AU612" s="288"/>
      <c r="AV612" s="288"/>
      <c r="AW612" s="288"/>
      <c r="AX612" s="288"/>
      <c r="AY612" s="288"/>
      <c r="AZ612" s="288"/>
    </row>
    <row r="613" spans="1:52" s="413" customFormat="1" ht="24.95" hidden="1" customHeight="1" x14ac:dyDescent="0.35">
      <c r="A613" s="586" t="s">
        <v>267</v>
      </c>
      <c r="B613" s="509">
        <v>27792</v>
      </c>
      <c r="C613" s="510">
        <v>40000</v>
      </c>
      <c r="D613" s="509" t="s">
        <v>249</v>
      </c>
      <c r="E613" s="509" t="s">
        <v>268</v>
      </c>
      <c r="F613" s="509"/>
      <c r="G613" s="509"/>
      <c r="H613" s="509" t="s">
        <v>37</v>
      </c>
      <c r="I613" s="509" t="s">
        <v>269</v>
      </c>
      <c r="J613" s="509" t="s">
        <v>62</v>
      </c>
      <c r="K613" s="509"/>
      <c r="L613" s="520">
        <v>45828</v>
      </c>
      <c r="M613" s="511"/>
      <c r="N613" s="509" t="s">
        <v>103</v>
      </c>
      <c r="O613" s="512">
        <v>6800</v>
      </c>
      <c r="P613" s="509" t="s">
        <v>80</v>
      </c>
      <c r="Q613" s="513"/>
      <c r="R613" s="543"/>
      <c r="S613" s="544"/>
      <c r="T613" s="545"/>
      <c r="U613" s="539" t="s">
        <v>66</v>
      </c>
      <c r="V613" s="511" t="s">
        <v>1404</v>
      </c>
      <c r="W613" s="515" t="s">
        <v>45</v>
      </c>
      <c r="X613" s="517">
        <v>160000</v>
      </c>
      <c r="Y613" s="515" t="s">
        <v>215</v>
      </c>
      <c r="Z613" s="515"/>
      <c r="AA613" s="518"/>
      <c r="AB613" s="518"/>
      <c r="AC613" s="490"/>
      <c r="AD613" s="501"/>
      <c r="AE613" s="286"/>
      <c r="AF613" s="288"/>
      <c r="AG613" s="288"/>
      <c r="AH613" s="288"/>
      <c r="AI613" s="288"/>
      <c r="AJ613" s="288"/>
      <c r="AK613" s="288"/>
      <c r="AL613" s="288"/>
      <c r="AM613" s="288"/>
      <c r="AN613" s="288"/>
      <c r="AO613" s="288"/>
      <c r="AP613" s="288"/>
      <c r="AQ613" s="288"/>
      <c r="AR613" s="288"/>
      <c r="AS613" s="288"/>
      <c r="AT613" s="288"/>
      <c r="AU613" s="288"/>
      <c r="AV613" s="288"/>
      <c r="AW613" s="288"/>
      <c r="AX613" s="288"/>
      <c r="AY613" s="288"/>
      <c r="AZ613" s="288"/>
    </row>
    <row r="614" spans="1:52" s="413" customFormat="1" ht="24.95" hidden="1" customHeight="1" x14ac:dyDescent="0.3">
      <c r="A614" s="508" t="s">
        <v>251</v>
      </c>
      <c r="B614" s="509">
        <v>29277</v>
      </c>
      <c r="C614" s="510">
        <v>40500</v>
      </c>
      <c r="D614" s="509" t="s">
        <v>249</v>
      </c>
      <c r="E614" s="509" t="s">
        <v>421</v>
      </c>
      <c r="F614" s="509"/>
      <c r="G614" s="509"/>
      <c r="H614" s="509" t="s">
        <v>37</v>
      </c>
      <c r="I614" s="509" t="s">
        <v>253</v>
      </c>
      <c r="J614" s="509" t="s">
        <v>62</v>
      </c>
      <c r="K614" s="509"/>
      <c r="L614" s="520">
        <v>45838</v>
      </c>
      <c r="M614" s="511"/>
      <c r="N614" s="509"/>
      <c r="O614" s="512"/>
      <c r="P614" s="509"/>
      <c r="Q614" s="512"/>
      <c r="R614" s="514"/>
      <c r="S614" s="513"/>
      <c r="T614" s="515"/>
      <c r="U614" s="516" t="s">
        <v>66</v>
      </c>
      <c r="V614" s="511" t="s">
        <v>1412</v>
      </c>
      <c r="W614" s="515" t="s">
        <v>67</v>
      </c>
      <c r="X614" s="517">
        <v>130065</v>
      </c>
      <c r="Y614" s="515" t="s">
        <v>215</v>
      </c>
      <c r="Z614" s="652"/>
      <c r="AA614" s="507"/>
      <c r="AB614" s="507"/>
      <c r="AC614" s="490"/>
      <c r="AD614" s="529" t="s">
        <v>1327</v>
      </c>
      <c r="AE614" s="286"/>
      <c r="AF614" s="288"/>
      <c r="AG614" s="288"/>
      <c r="AH614" s="288"/>
      <c r="AI614" s="288"/>
      <c r="AJ614" s="288"/>
      <c r="AK614" s="288"/>
      <c r="AL614" s="288"/>
      <c r="AM614" s="288"/>
      <c r="AN614" s="288"/>
      <c r="AO614" s="288"/>
      <c r="AP614" s="288"/>
      <c r="AQ614" s="288"/>
      <c r="AR614" s="288"/>
      <c r="AS614" s="288"/>
      <c r="AT614" s="288"/>
      <c r="AU614" s="288"/>
      <c r="AV614" s="288"/>
      <c r="AW614" s="288"/>
      <c r="AX614" s="288"/>
      <c r="AY614" s="288"/>
      <c r="AZ614" s="288"/>
    </row>
    <row r="615" spans="1:52" s="297" customFormat="1" ht="24.95" hidden="1" customHeight="1" x14ac:dyDescent="0.35">
      <c r="A615" s="587" t="s">
        <v>1185</v>
      </c>
      <c r="B615" s="502">
        <v>29937</v>
      </c>
      <c r="C615" s="489">
        <v>55000</v>
      </c>
      <c r="D615" s="488" t="s">
        <v>33</v>
      </c>
      <c r="E615" s="542" t="s">
        <v>854</v>
      </c>
      <c r="F615" s="607" t="s">
        <v>1431</v>
      </c>
      <c r="G615" s="607" t="s">
        <v>602</v>
      </c>
      <c r="H615" s="523" t="s">
        <v>51</v>
      </c>
      <c r="I615" s="523" t="s">
        <v>52</v>
      </c>
      <c r="J615" s="523" t="s">
        <v>75</v>
      </c>
      <c r="K615" s="523"/>
      <c r="L615" s="490">
        <v>45792</v>
      </c>
      <c r="M615" s="506"/>
      <c r="N615" s="525" t="s">
        <v>40</v>
      </c>
      <c r="O615" s="541">
        <v>575</v>
      </c>
      <c r="P615" s="488" t="s">
        <v>80</v>
      </c>
      <c r="Q615" s="525"/>
      <c r="R615" s="490">
        <v>45823</v>
      </c>
      <c r="S615" s="526" t="s">
        <v>65</v>
      </c>
      <c r="T615" s="603">
        <v>45838</v>
      </c>
      <c r="U615" s="527" t="s">
        <v>76</v>
      </c>
      <c r="V615" s="490" t="s">
        <v>1412</v>
      </c>
      <c r="W615" s="498" t="s">
        <v>45</v>
      </c>
      <c r="X615" s="528">
        <v>21920</v>
      </c>
      <c r="Y615" s="498" t="s">
        <v>46</v>
      </c>
      <c r="Z615" s="498"/>
      <c r="AA615" s="518"/>
      <c r="AB615" s="525"/>
      <c r="AC615" s="525"/>
      <c r="AD615" s="525"/>
      <c r="AE615" s="298"/>
      <c r="AF615" s="298"/>
      <c r="AG615" s="298"/>
      <c r="AH615" s="298"/>
      <c r="AI615" s="298"/>
      <c r="AJ615" s="298"/>
      <c r="AK615" s="298"/>
      <c r="AL615" s="298"/>
      <c r="AM615" s="298"/>
      <c r="AN615" s="298"/>
      <c r="AO615" s="298"/>
      <c r="AP615" s="298"/>
      <c r="AQ615" s="298"/>
      <c r="AR615" s="298"/>
      <c r="AS615" s="298"/>
      <c r="AT615" s="298"/>
      <c r="AU615" s="298"/>
      <c r="AV615" s="298"/>
    </row>
    <row r="616" spans="1:52" s="283" customFormat="1" ht="24.95" hidden="1" customHeight="1" x14ac:dyDescent="0.35">
      <c r="A616" s="587" t="s">
        <v>207</v>
      </c>
      <c r="B616" s="502">
        <v>29965</v>
      </c>
      <c r="C616" s="489"/>
      <c r="D616" s="488" t="s">
        <v>33</v>
      </c>
      <c r="E616" s="542" t="s">
        <v>1432</v>
      </c>
      <c r="F616" s="607" t="s">
        <v>1431</v>
      </c>
      <c r="G616" s="607" t="s">
        <v>602</v>
      </c>
      <c r="H616" s="523" t="s">
        <v>51</v>
      </c>
      <c r="I616" s="523" t="s">
        <v>52</v>
      </c>
      <c r="J616" s="523" t="s">
        <v>75</v>
      </c>
      <c r="K616" s="523"/>
      <c r="L616" s="490">
        <v>45792</v>
      </c>
      <c r="M616" s="490"/>
      <c r="N616" s="525" t="s">
        <v>40</v>
      </c>
      <c r="O616" s="541"/>
      <c r="P616" s="488"/>
      <c r="Q616" s="525"/>
      <c r="R616" s="490">
        <v>45823</v>
      </c>
      <c r="S616" s="492" t="s">
        <v>65</v>
      </c>
      <c r="T616" s="603">
        <v>45838</v>
      </c>
      <c r="U616" s="527" t="s">
        <v>76</v>
      </c>
      <c r="V616" s="490" t="s">
        <v>1412</v>
      </c>
      <c r="W616" s="498" t="s">
        <v>45</v>
      </c>
      <c r="X616" s="528">
        <v>30080</v>
      </c>
      <c r="Y616" s="498" t="s">
        <v>46</v>
      </c>
      <c r="Z616" s="498"/>
      <c r="AA616" s="518"/>
      <c r="AB616" s="525"/>
      <c r="AC616" s="525"/>
      <c r="AD616" s="525"/>
      <c r="AE616" s="298"/>
      <c r="AF616" s="288"/>
      <c r="AG616" s="288"/>
      <c r="AH616" s="288"/>
      <c r="AI616" s="288"/>
      <c r="AJ616" s="288"/>
      <c r="AK616" s="288"/>
      <c r="AL616" s="288"/>
      <c r="AM616" s="288"/>
      <c r="AN616" s="288"/>
      <c r="AO616" s="288"/>
      <c r="AP616" s="288"/>
      <c r="AQ616" s="288"/>
      <c r="AR616" s="288"/>
      <c r="AS616" s="288"/>
      <c r="AT616" s="288"/>
      <c r="AU616" s="288"/>
      <c r="AV616" s="288"/>
    </row>
    <row r="617" spans="1:52" s="413" customFormat="1" ht="24.95" hidden="1" customHeight="1" x14ac:dyDescent="0.3">
      <c r="A617" s="508" t="s">
        <v>263</v>
      </c>
      <c r="B617" s="509">
        <v>30145</v>
      </c>
      <c r="C617" s="510">
        <v>40000</v>
      </c>
      <c r="D617" s="509" t="s">
        <v>249</v>
      </c>
      <c r="E617" s="509" t="s">
        <v>265</v>
      </c>
      <c r="F617" s="509"/>
      <c r="G617" s="509"/>
      <c r="H617" s="509" t="s">
        <v>37</v>
      </c>
      <c r="I617" s="509" t="s">
        <v>266</v>
      </c>
      <c r="J617" s="509" t="s">
        <v>62</v>
      </c>
      <c r="K617" s="509"/>
      <c r="L617" s="511">
        <v>45845</v>
      </c>
      <c r="M617" s="511"/>
      <c r="N617" s="509" t="s">
        <v>811</v>
      </c>
      <c r="O617" s="512">
        <v>3095</v>
      </c>
      <c r="P617" s="509" t="s">
        <v>80</v>
      </c>
      <c r="Q617" s="492">
        <f>+O617/C617</f>
        <v>7.7374999999999999E-2</v>
      </c>
      <c r="R617" s="514"/>
      <c r="S617" s="513"/>
      <c r="T617" s="515"/>
      <c r="U617" s="516" t="s">
        <v>66</v>
      </c>
      <c r="V617" s="511" t="s">
        <v>1433</v>
      </c>
      <c r="W617" s="515" t="s">
        <v>45</v>
      </c>
      <c r="X617" s="517">
        <v>154400</v>
      </c>
      <c r="Y617" s="515" t="s">
        <v>215</v>
      </c>
      <c r="Z617" s="652"/>
      <c r="AA617" s="507"/>
      <c r="AB617" s="507"/>
      <c r="AC617" s="490"/>
      <c r="AD617" s="488"/>
      <c r="AE617" s="286"/>
      <c r="AF617" s="288"/>
      <c r="AG617" s="288"/>
      <c r="AH617" s="288"/>
      <c r="AI617" s="288"/>
      <c r="AJ617" s="288"/>
      <c r="AK617" s="288"/>
      <c r="AL617" s="288"/>
      <c r="AM617" s="288"/>
      <c r="AN617" s="288"/>
      <c r="AO617" s="288"/>
      <c r="AP617" s="288"/>
      <c r="AQ617" s="288"/>
      <c r="AR617" s="288"/>
      <c r="AS617" s="288"/>
      <c r="AT617" s="288"/>
      <c r="AU617" s="288"/>
      <c r="AV617" s="288"/>
      <c r="AW617" s="288"/>
      <c r="AX617" s="288"/>
      <c r="AY617" s="288"/>
      <c r="AZ617" s="288"/>
    </row>
    <row r="618" spans="1:52" s="413" customFormat="1" ht="24.95" hidden="1" customHeight="1" x14ac:dyDescent="0.3">
      <c r="A618" s="508" t="s">
        <v>313</v>
      </c>
      <c r="B618" s="509">
        <v>27002</v>
      </c>
      <c r="C618" s="530">
        <v>41800</v>
      </c>
      <c r="D618" s="531" t="s">
        <v>249</v>
      </c>
      <c r="E618" s="531" t="s">
        <v>314</v>
      </c>
      <c r="F618" s="509"/>
      <c r="G618" s="509"/>
      <c r="H618" s="531" t="s">
        <v>315</v>
      </c>
      <c r="I618" s="509" t="s">
        <v>285</v>
      </c>
      <c r="J618" s="509" t="s">
        <v>62</v>
      </c>
      <c r="K618" s="509"/>
      <c r="L618" s="520">
        <v>45838</v>
      </c>
      <c r="M618" s="511"/>
      <c r="N618" s="509"/>
      <c r="O618" s="512"/>
      <c r="P618" s="509"/>
      <c r="Q618" s="513"/>
      <c r="R618" s="514"/>
      <c r="S618" s="532"/>
      <c r="T618" s="515" t="s">
        <v>1434</v>
      </c>
      <c r="U618" s="539" t="s">
        <v>66</v>
      </c>
      <c r="V618" s="511" t="s">
        <v>1412</v>
      </c>
      <c r="W618" s="515" t="s">
        <v>67</v>
      </c>
      <c r="X618" s="517">
        <v>30096</v>
      </c>
      <c r="Y618" s="515" t="s">
        <v>215</v>
      </c>
      <c r="Z618" s="652"/>
      <c r="AA618" s="507"/>
      <c r="AB618" s="507"/>
      <c r="AC618" s="490"/>
      <c r="AD618" s="540" t="s">
        <v>1189</v>
      </c>
      <c r="AE618" s="286"/>
      <c r="AF618" s="288"/>
      <c r="AG618" s="288"/>
      <c r="AH618" s="288"/>
      <c r="AI618" s="288"/>
      <c r="AJ618" s="288"/>
      <c r="AK618" s="288"/>
      <c r="AL618" s="288"/>
      <c r="AM618" s="288"/>
      <c r="AN618" s="288"/>
      <c r="AO618" s="288"/>
      <c r="AP618" s="288"/>
      <c r="AQ618" s="288"/>
      <c r="AR618" s="288"/>
      <c r="AS618" s="288"/>
      <c r="AT618" s="288"/>
      <c r="AU618" s="288"/>
      <c r="AV618" s="288"/>
      <c r="AW618" s="288"/>
      <c r="AX618" s="288"/>
      <c r="AY618" s="288"/>
      <c r="AZ618" s="288"/>
    </row>
    <row r="619" spans="1:52" s="413" customFormat="1" ht="24.95" hidden="1" customHeight="1" x14ac:dyDescent="0.35">
      <c r="A619" s="508" t="s">
        <v>1297</v>
      </c>
      <c r="B619" s="509">
        <v>30259</v>
      </c>
      <c r="C619" s="510">
        <v>42000</v>
      </c>
      <c r="D619" s="509" t="s">
        <v>249</v>
      </c>
      <c r="E619" s="509" t="s">
        <v>1411</v>
      </c>
      <c r="F619" s="509"/>
      <c r="G619" s="509"/>
      <c r="H619" s="509" t="s">
        <v>37</v>
      </c>
      <c r="I619" s="509" t="s">
        <v>720</v>
      </c>
      <c r="J619" s="509" t="s">
        <v>62</v>
      </c>
      <c r="K619" s="509"/>
      <c r="L619" s="520">
        <v>45845</v>
      </c>
      <c r="M619" s="511"/>
      <c r="N619" s="509" t="s">
        <v>434</v>
      </c>
      <c r="O619" s="512">
        <v>3660</v>
      </c>
      <c r="P619" s="509" t="s">
        <v>41</v>
      </c>
      <c r="Q619" s="513">
        <f>+O619/C619</f>
        <v>8.7142857142857147E-2</v>
      </c>
      <c r="R619" s="543"/>
      <c r="S619" s="544"/>
      <c r="T619" s="545" t="s">
        <v>1435</v>
      </c>
      <c r="U619" s="539" t="s">
        <v>66</v>
      </c>
      <c r="V619" s="511" t="s">
        <v>1436</v>
      </c>
      <c r="W619" s="545" t="s">
        <v>45</v>
      </c>
      <c r="X619" s="517"/>
      <c r="Y619" s="515"/>
      <c r="Z619" s="515"/>
      <c r="AA619" s="518"/>
      <c r="AB619" s="518"/>
      <c r="AC619" s="490"/>
      <c r="AD619" s="546"/>
      <c r="AE619" s="286"/>
      <c r="AF619" s="288"/>
      <c r="AG619" s="288"/>
      <c r="AH619" s="288"/>
      <c r="AI619" s="288"/>
      <c r="AJ619" s="288"/>
      <c r="AK619" s="288"/>
      <c r="AL619" s="288"/>
      <c r="AM619" s="288"/>
      <c r="AN619" s="288"/>
      <c r="AO619" s="288"/>
      <c r="AP619" s="288"/>
      <c r="AQ619" s="288"/>
      <c r="AR619" s="288"/>
      <c r="AS619" s="288"/>
      <c r="AT619" s="288"/>
      <c r="AU619" s="288"/>
      <c r="AV619" s="288"/>
      <c r="AW619" s="288"/>
      <c r="AX619" s="288"/>
      <c r="AY619" s="288"/>
      <c r="AZ619" s="288"/>
    </row>
    <row r="620" spans="1:52" s="413" customFormat="1" ht="24.95" hidden="1" customHeight="1" x14ac:dyDescent="0.35">
      <c r="A620" s="508" t="s">
        <v>1297</v>
      </c>
      <c r="B620" s="509">
        <v>30024</v>
      </c>
      <c r="C620" s="510">
        <v>42000</v>
      </c>
      <c r="D620" s="509" t="s">
        <v>249</v>
      </c>
      <c r="E620" s="509" t="s">
        <v>987</v>
      </c>
      <c r="F620" s="509"/>
      <c r="G620" s="509"/>
      <c r="H620" s="509" t="s">
        <v>37</v>
      </c>
      <c r="I620" s="509" t="s">
        <v>720</v>
      </c>
      <c r="J620" s="509" t="s">
        <v>62</v>
      </c>
      <c r="K620" s="509"/>
      <c r="L620" s="520">
        <v>45845</v>
      </c>
      <c r="M620" s="511"/>
      <c r="N620" s="509" t="s">
        <v>434</v>
      </c>
      <c r="O620" s="512">
        <v>3660</v>
      </c>
      <c r="P620" s="509" t="s">
        <v>41</v>
      </c>
      <c r="Q620" s="513">
        <f>+O620/C620</f>
        <v>8.7142857142857147E-2</v>
      </c>
      <c r="R620" s="543"/>
      <c r="S620" s="544"/>
      <c r="T620" s="545" t="s">
        <v>1437</v>
      </c>
      <c r="U620" s="539" t="s">
        <v>66</v>
      </c>
      <c r="V620" s="511" t="s">
        <v>1433</v>
      </c>
      <c r="W620" s="545" t="s">
        <v>45</v>
      </c>
      <c r="X620" s="517">
        <v>123900</v>
      </c>
      <c r="Y620" s="515" t="s">
        <v>215</v>
      </c>
      <c r="Z620" s="515"/>
      <c r="AA620" s="518"/>
      <c r="AB620" s="518"/>
      <c r="AC620" s="490"/>
      <c r="AD620" s="546"/>
      <c r="AE620" s="286"/>
      <c r="AF620" s="288"/>
      <c r="AG620" s="288"/>
      <c r="AH620" s="288"/>
      <c r="AI620" s="288"/>
      <c r="AJ620" s="288"/>
      <c r="AK620" s="288"/>
      <c r="AL620" s="288"/>
      <c r="AM620" s="288"/>
      <c r="AN620" s="288"/>
      <c r="AO620" s="288"/>
      <c r="AP620" s="288"/>
      <c r="AQ620" s="288"/>
      <c r="AR620" s="288"/>
      <c r="AS620" s="288"/>
      <c r="AT620" s="288"/>
      <c r="AU620" s="288"/>
      <c r="AV620" s="288"/>
      <c r="AW620" s="288"/>
      <c r="AX620" s="288"/>
      <c r="AY620" s="288"/>
      <c r="AZ620" s="288"/>
    </row>
    <row r="621" spans="1:52" s="288" customFormat="1" ht="23.25" hidden="1" customHeight="1" x14ac:dyDescent="0.35">
      <c r="A621" s="606" t="s">
        <v>279</v>
      </c>
      <c r="B621" s="522">
        <v>29648</v>
      </c>
      <c r="C621" s="521">
        <v>40000</v>
      </c>
      <c r="D621" s="488" t="s">
        <v>105</v>
      </c>
      <c r="E621" s="522" t="s">
        <v>888</v>
      </c>
      <c r="F621" s="607" t="s">
        <v>1438</v>
      </c>
      <c r="G621" s="522" t="s">
        <v>36</v>
      </c>
      <c r="H621" s="537" t="s">
        <v>37</v>
      </c>
      <c r="I621" s="537" t="s">
        <v>281</v>
      </c>
      <c r="J621" s="537" t="s">
        <v>120</v>
      </c>
      <c r="K621" s="537"/>
      <c r="L621" s="490">
        <v>45796</v>
      </c>
      <c r="M621" s="506" t="s">
        <v>1439</v>
      </c>
      <c r="N621" s="503" t="s">
        <v>40</v>
      </c>
      <c r="O621" s="538">
        <f>4160+400</f>
        <v>4560</v>
      </c>
      <c r="P621" s="488"/>
      <c r="Q621" s="492">
        <f>+O621/C621</f>
        <v>0.114</v>
      </c>
      <c r="R621" s="534"/>
      <c r="S621" s="526"/>
      <c r="T621" s="490">
        <v>45853</v>
      </c>
      <c r="U621" s="495" t="s">
        <v>43</v>
      </c>
      <c r="V621" s="490" t="s">
        <v>1433</v>
      </c>
      <c r="W621" s="498" t="s">
        <v>45</v>
      </c>
      <c r="X621" s="536">
        <v>130000</v>
      </c>
      <c r="Y621" s="535" t="s">
        <v>68</v>
      </c>
      <c r="Z621" s="535"/>
      <c r="AA621" s="507"/>
      <c r="AB621" s="535"/>
      <c r="AC621" s="506"/>
      <c r="AD621" s="501"/>
      <c r="AE621" s="396"/>
    </row>
    <row r="622" spans="1:52" s="288" customFormat="1" ht="24.95" hidden="1" customHeight="1" x14ac:dyDescent="0.35">
      <c r="A622" s="587" t="s">
        <v>636</v>
      </c>
      <c r="B622" s="488">
        <v>29597</v>
      </c>
      <c r="C622" s="489">
        <v>37400</v>
      </c>
      <c r="D622" s="488" t="s">
        <v>105</v>
      </c>
      <c r="E622" s="488" t="s">
        <v>1440</v>
      </c>
      <c r="F622" s="542" t="s">
        <v>1441</v>
      </c>
      <c r="G622" s="522" t="s">
        <v>36</v>
      </c>
      <c r="H622" s="502" t="s">
        <v>37</v>
      </c>
      <c r="I622" s="502" t="s">
        <v>182</v>
      </c>
      <c r="J622" s="502" t="s">
        <v>183</v>
      </c>
      <c r="K622" s="502"/>
      <c r="L622" s="490">
        <v>45810</v>
      </c>
      <c r="M622" s="490" t="s">
        <v>99</v>
      </c>
      <c r="N622" s="525" t="s">
        <v>40</v>
      </c>
      <c r="O622" s="491">
        <f>4030+575</f>
        <v>4605</v>
      </c>
      <c r="P622" s="488" t="s">
        <v>41</v>
      </c>
      <c r="Q622" s="492">
        <f>+O622/C622</f>
        <v>0.1231283422459893</v>
      </c>
      <c r="R622" s="490">
        <v>45842</v>
      </c>
      <c r="S622" s="492" t="s">
        <v>65</v>
      </c>
      <c r="T622" s="603">
        <v>45856</v>
      </c>
      <c r="U622" s="505" t="s">
        <v>167</v>
      </c>
      <c r="V622" s="490" t="s">
        <v>1433</v>
      </c>
      <c r="W622" s="498" t="s">
        <v>45</v>
      </c>
      <c r="X622" s="497">
        <v>57525</v>
      </c>
      <c r="Y622" s="498" t="s">
        <v>68</v>
      </c>
      <c r="Z622" s="498"/>
      <c r="AA622" s="498"/>
      <c r="AB622" s="498"/>
      <c r="AC622" s="490"/>
      <c r="AD622" s="501"/>
      <c r="AE622" s="396"/>
    </row>
    <row r="623" spans="1:52" s="413" customFormat="1" ht="24.95" hidden="1" customHeight="1" x14ac:dyDescent="0.35">
      <c r="A623" s="586" t="s">
        <v>267</v>
      </c>
      <c r="B623" s="509">
        <v>27793</v>
      </c>
      <c r="C623" s="510">
        <v>40000</v>
      </c>
      <c r="D623" s="509" t="s">
        <v>249</v>
      </c>
      <c r="E623" s="509" t="s">
        <v>268</v>
      </c>
      <c r="F623" s="509"/>
      <c r="G623" s="509"/>
      <c r="H623" s="509" t="s">
        <v>37</v>
      </c>
      <c r="I623" s="509" t="s">
        <v>269</v>
      </c>
      <c r="J623" s="509" t="s">
        <v>62</v>
      </c>
      <c r="K623" s="509"/>
      <c r="L623" s="520">
        <v>45833</v>
      </c>
      <c r="M623" s="511"/>
      <c r="N623" s="509"/>
      <c r="O623" s="512"/>
      <c r="P623" s="509"/>
      <c r="Q623" s="513"/>
      <c r="R623" s="543"/>
      <c r="S623" s="544"/>
      <c r="T623" s="545" t="s">
        <v>1442</v>
      </c>
      <c r="U623" s="539" t="s">
        <v>66</v>
      </c>
      <c r="V623" s="511" t="s">
        <v>1412</v>
      </c>
      <c r="W623" s="545" t="s">
        <v>67</v>
      </c>
      <c r="X623" s="517">
        <v>160000</v>
      </c>
      <c r="Y623" s="515" t="s">
        <v>215</v>
      </c>
      <c r="Z623" s="515"/>
      <c r="AA623" s="518"/>
      <c r="AB623" s="518"/>
      <c r="AC623" s="490"/>
      <c r="AD623" s="501"/>
      <c r="AE623" s="7"/>
      <c r="AF623" s="288"/>
      <c r="AG623" s="288"/>
      <c r="AH623" s="288"/>
      <c r="AI623" s="288"/>
      <c r="AJ623" s="288"/>
      <c r="AK623" s="288"/>
      <c r="AL623" s="288"/>
      <c r="AM623" s="288"/>
      <c r="AN623" s="288"/>
      <c r="AO623" s="288"/>
      <c r="AP623" s="288"/>
      <c r="AQ623" s="288"/>
      <c r="AR623" s="288"/>
      <c r="AS623" s="288"/>
      <c r="AT623" s="288"/>
      <c r="AU623" s="288"/>
      <c r="AV623" s="288"/>
      <c r="AW623" s="288"/>
      <c r="AX623" s="288"/>
      <c r="AY623" s="288"/>
      <c r="AZ623" s="288"/>
    </row>
    <row r="624" spans="1:52" s="413" customFormat="1" ht="24.95" hidden="1" customHeight="1" x14ac:dyDescent="0.35">
      <c r="A624" s="508" t="s">
        <v>251</v>
      </c>
      <c r="B624" s="509">
        <v>29826</v>
      </c>
      <c r="C624" s="510">
        <v>40500</v>
      </c>
      <c r="D624" s="509" t="s">
        <v>1443</v>
      </c>
      <c r="E624" s="509" t="s">
        <v>1444</v>
      </c>
      <c r="F624" s="509"/>
      <c r="G624" s="509"/>
      <c r="H624" s="509" t="s">
        <v>37</v>
      </c>
      <c r="I624" s="509" t="s">
        <v>253</v>
      </c>
      <c r="J624" s="509" t="s">
        <v>62</v>
      </c>
      <c r="K624" s="509"/>
      <c r="L624" s="520"/>
      <c r="M624" s="511"/>
      <c r="N624" s="509"/>
      <c r="O624" s="512"/>
      <c r="P624" s="509"/>
      <c r="Q624" s="513"/>
      <c r="R624" s="543"/>
      <c r="S624" s="544"/>
      <c r="T624" s="545"/>
      <c r="U624" s="539"/>
      <c r="V624" s="511"/>
      <c r="W624" s="545"/>
      <c r="X624" s="517"/>
      <c r="Y624" s="515"/>
      <c r="Z624" s="515"/>
      <c r="AA624" s="518"/>
      <c r="AB624" s="518"/>
      <c r="AC624" s="490"/>
      <c r="AD624" s="546"/>
      <c r="AE624" s="7"/>
      <c r="AF624" s="288"/>
      <c r="AG624" s="288"/>
      <c r="AH624" s="288"/>
      <c r="AI624" s="288"/>
      <c r="AJ624" s="288"/>
      <c r="AK624" s="288"/>
      <c r="AL624" s="288"/>
      <c r="AM624" s="288"/>
      <c r="AN624" s="288"/>
      <c r="AO624" s="288"/>
      <c r="AP624" s="288"/>
      <c r="AQ624" s="288"/>
      <c r="AR624" s="288"/>
      <c r="AS624" s="288"/>
      <c r="AT624" s="288"/>
      <c r="AU624" s="288"/>
      <c r="AV624" s="288"/>
      <c r="AW624" s="288"/>
      <c r="AX624" s="288"/>
      <c r="AY624" s="288"/>
      <c r="AZ624" s="288"/>
    </row>
    <row r="625" spans="1:48" s="283" customFormat="1" ht="24.95" hidden="1" customHeight="1" x14ac:dyDescent="0.35">
      <c r="A625" s="487" t="s">
        <v>560</v>
      </c>
      <c r="B625" s="523">
        <v>30657</v>
      </c>
      <c r="C625" s="524">
        <v>13860</v>
      </c>
      <c r="D625" s="522" t="s">
        <v>264</v>
      </c>
      <c r="E625" s="522" t="s">
        <v>1445</v>
      </c>
      <c r="F625" s="523"/>
      <c r="G625" s="523"/>
      <c r="H625" s="522"/>
      <c r="I625" s="523"/>
      <c r="J625" s="523"/>
      <c r="K625" s="523"/>
      <c r="L625" s="490">
        <v>45854</v>
      </c>
      <c r="M625" s="525"/>
      <c r="N625" s="525"/>
      <c r="O625" s="525"/>
      <c r="P625" s="523"/>
      <c r="Q625" s="525"/>
      <c r="R625" s="525"/>
      <c r="S625" s="526"/>
      <c r="T625" s="490">
        <v>45859</v>
      </c>
      <c r="U625" s="527" t="s">
        <v>66</v>
      </c>
      <c r="V625" s="490" t="s">
        <v>1446</v>
      </c>
      <c r="W625" s="498" t="s">
        <v>45</v>
      </c>
      <c r="X625" s="528"/>
      <c r="Y625" s="498"/>
      <c r="Z625" s="498"/>
      <c r="AA625" s="518"/>
      <c r="AB625" s="525"/>
      <c r="AC625" s="525"/>
      <c r="AD625" s="533"/>
      <c r="AE625" s="7"/>
      <c r="AF625" s="288"/>
      <c r="AG625" s="288"/>
      <c r="AH625" s="288"/>
      <c r="AI625" s="288"/>
      <c r="AJ625" s="288"/>
      <c r="AK625" s="288"/>
      <c r="AL625" s="288"/>
      <c r="AM625" s="288"/>
      <c r="AN625" s="288"/>
      <c r="AO625" s="288"/>
      <c r="AP625" s="288"/>
      <c r="AQ625" s="288"/>
      <c r="AR625" s="288"/>
      <c r="AS625" s="288"/>
      <c r="AT625" s="288"/>
      <c r="AU625" s="288"/>
      <c r="AV625" s="288"/>
    </row>
    <row r="626" spans="1:48" ht="23.25" hidden="1" x14ac:dyDescent="0.2">
      <c r="A626" s="487" t="s">
        <v>161</v>
      </c>
      <c r="B626" s="488">
        <v>29212</v>
      </c>
      <c r="C626" s="489">
        <v>55000</v>
      </c>
      <c r="D626" s="488" t="s">
        <v>33</v>
      </c>
      <c r="E626" s="488" t="s">
        <v>801</v>
      </c>
      <c r="F626" s="488" t="s">
        <v>1447</v>
      </c>
      <c r="G626" s="488" t="s">
        <v>345</v>
      </c>
      <c r="H626" s="488" t="s">
        <v>164</v>
      </c>
      <c r="I626" s="488" t="s">
        <v>165</v>
      </c>
      <c r="J626" s="488" t="s">
        <v>166</v>
      </c>
      <c r="K626" s="488"/>
      <c r="L626" s="490">
        <v>45817</v>
      </c>
      <c r="M626" s="490" t="s">
        <v>1448</v>
      </c>
      <c r="N626" s="488"/>
      <c r="O626" s="491">
        <v>9035</v>
      </c>
      <c r="P626" s="488" t="s">
        <v>41</v>
      </c>
      <c r="Q626" s="492">
        <f>+O626/C626</f>
        <v>0.16427272727272726</v>
      </c>
      <c r="R626" s="490">
        <v>45851</v>
      </c>
      <c r="S626" s="550" t="s">
        <v>65</v>
      </c>
      <c r="T626" s="603">
        <v>45864</v>
      </c>
      <c r="U626" s="527" t="s">
        <v>167</v>
      </c>
      <c r="V626" s="490" t="s">
        <v>1449</v>
      </c>
      <c r="W626" s="498" t="s">
        <v>45</v>
      </c>
      <c r="AC626" s="251"/>
      <c r="AD626" s="251"/>
      <c r="AE626" s="7">
        <v>45849</v>
      </c>
    </row>
    <row r="627" spans="1:48" ht="23.25" hidden="1" x14ac:dyDescent="0.35">
      <c r="A627" s="587" t="s">
        <v>161</v>
      </c>
      <c r="B627" s="488">
        <v>29213</v>
      </c>
      <c r="C627" s="489">
        <v>55000</v>
      </c>
      <c r="D627" s="488" t="s">
        <v>33</v>
      </c>
      <c r="E627" s="488" t="s">
        <v>162</v>
      </c>
      <c r="F627" s="542" t="s">
        <v>1450</v>
      </c>
      <c r="G627" s="488" t="s">
        <v>345</v>
      </c>
      <c r="H627" s="488" t="s">
        <v>164</v>
      </c>
      <c r="I627" s="488" t="s">
        <v>165</v>
      </c>
      <c r="J627" s="488" t="s">
        <v>166</v>
      </c>
      <c r="K627" s="488"/>
      <c r="L627" s="490">
        <v>45817</v>
      </c>
      <c r="M627" s="490" t="s">
        <v>1448</v>
      </c>
      <c r="N627" s="488"/>
      <c r="O627" s="491">
        <v>9035</v>
      </c>
      <c r="P627" s="488" t="s">
        <v>41</v>
      </c>
      <c r="Q627" s="492">
        <f>+O627/C627</f>
        <v>0.16427272727272726</v>
      </c>
      <c r="R627" s="490">
        <v>45851</v>
      </c>
      <c r="S627" s="550" t="s">
        <v>65</v>
      </c>
      <c r="T627" s="603">
        <v>45864</v>
      </c>
      <c r="U627" s="527" t="s">
        <v>167</v>
      </c>
      <c r="V627" s="490" t="s">
        <v>1449</v>
      </c>
      <c r="W627" s="498" t="s">
        <v>45</v>
      </c>
      <c r="AC627" s="251"/>
      <c r="AD627" s="251"/>
      <c r="AE627" s="7">
        <v>45849</v>
      </c>
    </row>
    <row r="628" spans="1:48" s="297" customFormat="1" ht="24.95" hidden="1" customHeight="1" x14ac:dyDescent="0.35">
      <c r="A628" s="487" t="s">
        <v>210</v>
      </c>
      <c r="B628" s="502">
        <v>29795</v>
      </c>
      <c r="C628" s="489">
        <v>57200</v>
      </c>
      <c r="D628" s="488" t="s">
        <v>48</v>
      </c>
      <c r="E628" s="542" t="s">
        <v>211</v>
      </c>
      <c r="F628" s="502" t="s">
        <v>1451</v>
      </c>
      <c r="G628" s="488" t="s">
        <v>36</v>
      </c>
      <c r="H628" s="523" t="s">
        <v>60</v>
      </c>
      <c r="I628" s="523" t="s">
        <v>213</v>
      </c>
      <c r="J628" s="523"/>
      <c r="K628" s="523"/>
      <c r="L628" s="490">
        <v>45788</v>
      </c>
      <c r="M628" s="525"/>
      <c r="O628" s="541"/>
      <c r="P628" s="488"/>
      <c r="Q628" s="525"/>
      <c r="R628" s="525"/>
      <c r="S628" s="526"/>
      <c r="T628" s="490">
        <v>45828</v>
      </c>
      <c r="U628" s="527" t="s">
        <v>43</v>
      </c>
      <c r="V628" s="511" t="s">
        <v>1446</v>
      </c>
      <c r="W628" s="498" t="s">
        <v>67</v>
      </c>
      <c r="X628" s="604">
        <v>48722</v>
      </c>
      <c r="Y628" s="498" t="s">
        <v>215</v>
      </c>
      <c r="Z628" s="498"/>
      <c r="AA628" s="518"/>
      <c r="AB628" s="525"/>
      <c r="AC628" s="525"/>
      <c r="AD628" s="525"/>
      <c r="AE628" s="7" t="s">
        <v>64</v>
      </c>
      <c r="AF628" s="298"/>
      <c r="AG628" s="298"/>
      <c r="AH628" s="298"/>
      <c r="AI628" s="298"/>
      <c r="AJ628" s="298"/>
      <c r="AK628" s="298"/>
      <c r="AL628" s="298"/>
      <c r="AM628" s="298"/>
      <c r="AN628" s="298"/>
      <c r="AO628" s="298"/>
      <c r="AP628" s="298"/>
      <c r="AQ628" s="298"/>
      <c r="AR628" s="298"/>
      <c r="AS628" s="298"/>
      <c r="AT628" s="298"/>
      <c r="AU628" s="298"/>
      <c r="AV628" s="298"/>
    </row>
    <row r="629" spans="1:48" s="297" customFormat="1" ht="24.95" hidden="1" customHeight="1" x14ac:dyDescent="0.35">
      <c r="A629" s="487" t="s">
        <v>210</v>
      </c>
      <c r="B629" s="502">
        <v>29794</v>
      </c>
      <c r="C629" s="489">
        <v>57200</v>
      </c>
      <c r="D629" s="488" t="s">
        <v>48</v>
      </c>
      <c r="E629" s="542" t="s">
        <v>211</v>
      </c>
      <c r="F629" s="502" t="s">
        <v>1452</v>
      </c>
      <c r="G629" s="488" t="s">
        <v>36</v>
      </c>
      <c r="H629" s="523" t="s">
        <v>60</v>
      </c>
      <c r="I629" s="523" t="s">
        <v>213</v>
      </c>
      <c r="J629" s="523"/>
      <c r="K629" s="523"/>
      <c r="L629" s="490">
        <v>45788</v>
      </c>
      <c r="M629" s="525"/>
      <c r="N629" s="525"/>
      <c r="O629" s="541"/>
      <c r="P629" s="488"/>
      <c r="Q629" s="525"/>
      <c r="R629" s="525"/>
      <c r="S629" s="526"/>
      <c r="T629" s="490">
        <v>45828</v>
      </c>
      <c r="U629" s="527" t="s">
        <v>43</v>
      </c>
      <c r="V629" s="511" t="s">
        <v>1446</v>
      </c>
      <c r="W629" s="498" t="s">
        <v>67</v>
      </c>
      <c r="X629" s="604">
        <v>48722</v>
      </c>
      <c r="Y629" s="498" t="s">
        <v>215</v>
      </c>
      <c r="Z629" s="498"/>
      <c r="AA629" s="518"/>
      <c r="AB629" s="525"/>
      <c r="AC629" s="525"/>
      <c r="AD629" s="525"/>
      <c r="AE629" s="684" t="s">
        <v>64</v>
      </c>
      <c r="AF629" s="298"/>
      <c r="AG629" s="298"/>
      <c r="AH629" s="298"/>
      <c r="AI629" s="298"/>
      <c r="AJ629" s="298"/>
      <c r="AK629" s="298"/>
      <c r="AL629" s="298"/>
      <c r="AM629" s="298"/>
      <c r="AN629" s="298"/>
      <c r="AO629" s="298"/>
      <c r="AP629" s="298"/>
      <c r="AQ629" s="298"/>
      <c r="AR629" s="298"/>
      <c r="AS629" s="298"/>
      <c r="AT629" s="298"/>
      <c r="AU629" s="298"/>
      <c r="AV629" s="298"/>
    </row>
    <row r="630" spans="1:48" s="283" customFormat="1" ht="24.95" hidden="1" customHeight="1" x14ac:dyDescent="0.35">
      <c r="A630" s="487" t="s">
        <v>47</v>
      </c>
      <c r="B630" s="488">
        <v>27257</v>
      </c>
      <c r="C630" s="489">
        <v>55000</v>
      </c>
      <c r="D630" s="488" t="s">
        <v>48</v>
      </c>
      <c r="E630" s="488" t="s">
        <v>49</v>
      </c>
      <c r="F630" s="488" t="s">
        <v>1453</v>
      </c>
      <c r="G630" s="523" t="s">
        <v>36</v>
      </c>
      <c r="H630" s="488" t="s">
        <v>51</v>
      </c>
      <c r="I630" s="488" t="s">
        <v>52</v>
      </c>
      <c r="J630" s="488" t="s">
        <v>53</v>
      </c>
      <c r="K630" s="488"/>
      <c r="L630" s="520">
        <v>45827</v>
      </c>
      <c r="M630" s="490"/>
      <c r="N630" s="503" t="s">
        <v>40</v>
      </c>
      <c r="O630" s="491">
        <v>725</v>
      </c>
      <c r="P630" s="488" t="s">
        <v>80</v>
      </c>
      <c r="Q630" s="519"/>
      <c r="R630" s="493"/>
      <c r="S630" s="494"/>
      <c r="T630" s="490">
        <v>45867</v>
      </c>
      <c r="U630" s="495" t="s">
        <v>43</v>
      </c>
      <c r="V630" s="490" t="s">
        <v>1449</v>
      </c>
      <c r="W630" s="498" t="s">
        <v>45</v>
      </c>
      <c r="X630" s="638"/>
      <c r="Y630" s="637"/>
      <c r="Z630" s="637"/>
      <c r="AA630" s="518"/>
      <c r="AB630" s="525"/>
      <c r="AC630" s="525"/>
      <c r="AD630" s="692"/>
      <c r="AE630" s="7">
        <v>45882</v>
      </c>
      <c r="AF630" s="288"/>
      <c r="AG630" s="288"/>
      <c r="AH630" s="288"/>
      <c r="AI630" s="288"/>
      <c r="AJ630" s="288"/>
      <c r="AK630" s="288"/>
      <c r="AL630" s="288"/>
      <c r="AM630" s="288"/>
      <c r="AN630" s="288"/>
      <c r="AO630" s="288"/>
      <c r="AP630" s="288"/>
      <c r="AQ630" s="288"/>
      <c r="AR630" s="288"/>
      <c r="AS630" s="288"/>
      <c r="AT630" s="288"/>
      <c r="AU630" s="288"/>
      <c r="AV630" s="288"/>
    </row>
    <row r="631" spans="1:48" s="283" customFormat="1" ht="24.95" hidden="1" customHeight="1" x14ac:dyDescent="0.35">
      <c r="A631" s="551" t="s">
        <v>529</v>
      </c>
      <c r="B631" s="502">
        <v>30682</v>
      </c>
      <c r="C631" s="552">
        <v>54000</v>
      </c>
      <c r="D631" s="537" t="s">
        <v>249</v>
      </c>
      <c r="E631" s="502" t="s">
        <v>1454</v>
      </c>
      <c r="F631" s="522"/>
      <c r="G631" s="614"/>
      <c r="H631" s="522" t="s">
        <v>60</v>
      </c>
      <c r="I631" s="522" t="s">
        <v>213</v>
      </c>
      <c r="J631" s="522" t="s">
        <v>53</v>
      </c>
      <c r="K631" s="522"/>
      <c r="L631" s="520">
        <v>45861</v>
      </c>
      <c r="M631" s="506"/>
      <c r="N631" s="503"/>
      <c r="O631" s="538"/>
      <c r="P631" s="488"/>
      <c r="Q631" s="519"/>
      <c r="R631" s="493"/>
      <c r="S631" s="494"/>
      <c r="T631" s="490">
        <v>45870</v>
      </c>
      <c r="U631" s="495" t="s">
        <v>66</v>
      </c>
      <c r="V631" s="490" t="s">
        <v>1449</v>
      </c>
      <c r="W631" s="498" t="s">
        <v>45</v>
      </c>
      <c r="X631" s="638"/>
      <c r="Y631" s="637"/>
      <c r="Z631" s="637"/>
      <c r="AA631" s="518"/>
      <c r="AB631" s="525"/>
      <c r="AC631" s="525"/>
      <c r="AD631" s="692"/>
      <c r="AE631" s="7" t="s">
        <v>64</v>
      </c>
      <c r="AF631" s="288"/>
      <c r="AG631" s="288"/>
      <c r="AH631" s="288"/>
      <c r="AI631" s="288"/>
      <c r="AJ631" s="288"/>
      <c r="AK631" s="288"/>
      <c r="AL631" s="288"/>
      <c r="AM631" s="288"/>
      <c r="AN631" s="288"/>
      <c r="AO631" s="288"/>
      <c r="AP631" s="288"/>
      <c r="AQ631" s="288"/>
      <c r="AR631" s="288"/>
      <c r="AS631" s="288"/>
      <c r="AT631" s="288"/>
      <c r="AU631" s="288"/>
      <c r="AV631" s="288"/>
    </row>
    <row r="632" spans="1:48" s="283" customFormat="1" ht="24.95" hidden="1" customHeight="1" x14ac:dyDescent="0.35">
      <c r="A632" s="508" t="s">
        <v>1455</v>
      </c>
      <c r="B632" s="509">
        <v>30750</v>
      </c>
      <c r="C632" s="510">
        <v>23000</v>
      </c>
      <c r="D632" s="509" t="s">
        <v>264</v>
      </c>
      <c r="E632" s="509" t="s">
        <v>78</v>
      </c>
      <c r="F632" s="639"/>
      <c r="G632" s="639"/>
      <c r="H632" s="531"/>
      <c r="I632" s="639"/>
      <c r="J632" s="639"/>
      <c r="K632" s="639"/>
      <c r="L632" s="640">
        <v>45862</v>
      </c>
      <c r="M632" s="641"/>
      <c r="N632" s="642"/>
      <c r="O632" s="643"/>
      <c r="P632" s="639"/>
      <c r="Q632" s="642"/>
      <c r="R632" s="642"/>
      <c r="S632" s="644"/>
      <c r="T632" s="645">
        <v>45867</v>
      </c>
      <c r="U632" s="646" t="s">
        <v>66</v>
      </c>
      <c r="V632" s="511" t="s">
        <v>1446</v>
      </c>
      <c r="W632" s="647" t="s">
        <v>45</v>
      </c>
      <c r="X632" s="638"/>
      <c r="Y632" s="637"/>
      <c r="Z632" s="637"/>
      <c r="AA632" s="518"/>
      <c r="AB632" s="525"/>
      <c r="AC632" s="525"/>
      <c r="AD632" s="692"/>
      <c r="AE632" s="7" t="s">
        <v>64</v>
      </c>
      <c r="AF632" s="288"/>
      <c r="AG632" s="288"/>
      <c r="AH632" s="288"/>
      <c r="AI632" s="288"/>
      <c r="AJ632" s="288"/>
      <c r="AK632" s="288"/>
      <c r="AL632" s="288"/>
      <c r="AM632" s="288"/>
      <c r="AN632" s="288"/>
      <c r="AO632" s="288"/>
      <c r="AP632" s="288"/>
      <c r="AQ632" s="288"/>
      <c r="AR632" s="288"/>
      <c r="AS632" s="288"/>
      <c r="AT632" s="288"/>
      <c r="AU632" s="288"/>
      <c r="AV632" s="288"/>
    </row>
    <row r="633" spans="1:48" s="288" customFormat="1" ht="24.95" hidden="1" customHeight="1" x14ac:dyDescent="0.35">
      <c r="A633" s="587" t="s">
        <v>289</v>
      </c>
      <c r="B633" s="522">
        <v>29561</v>
      </c>
      <c r="C633" s="559">
        <v>40000</v>
      </c>
      <c r="D633" s="522" t="s">
        <v>105</v>
      </c>
      <c r="E633" s="522" t="s">
        <v>290</v>
      </c>
      <c r="F633" s="607" t="s">
        <v>1456</v>
      </c>
      <c r="G633" s="522" t="s">
        <v>36</v>
      </c>
      <c r="H633" s="537" t="s">
        <v>164</v>
      </c>
      <c r="I633" s="537" t="s">
        <v>291</v>
      </c>
      <c r="J633" s="537" t="s">
        <v>292</v>
      </c>
      <c r="K633" s="537"/>
      <c r="L633" s="520">
        <v>45820</v>
      </c>
      <c r="M633" s="506" t="s">
        <v>39</v>
      </c>
      <c r="N633" s="503"/>
      <c r="O633" s="538">
        <f>3021+400</f>
        <v>3421</v>
      </c>
      <c r="P633" s="488" t="s">
        <v>41</v>
      </c>
      <c r="Q633" s="519"/>
      <c r="R633" s="493"/>
      <c r="S633" s="492"/>
      <c r="T633" s="490">
        <v>45869</v>
      </c>
      <c r="U633" s="492" t="s">
        <v>43</v>
      </c>
      <c r="V633" s="490" t="s">
        <v>1457</v>
      </c>
      <c r="W633" s="498" t="s">
        <v>45</v>
      </c>
      <c r="X633" s="536">
        <v>40640</v>
      </c>
      <c r="Y633" s="535" t="s">
        <v>46</v>
      </c>
      <c r="Z633" s="535"/>
      <c r="AA633" s="498"/>
      <c r="AB633" s="498"/>
      <c r="AC633" s="490"/>
      <c r="AD633" s="501"/>
      <c r="AE633" s="7">
        <v>45873</v>
      </c>
    </row>
    <row r="634" spans="1:48" s="288" customFormat="1" ht="24.95" hidden="1" customHeight="1" x14ac:dyDescent="0.35">
      <c r="A634" s="623" t="s">
        <v>200</v>
      </c>
      <c r="B634" s="488">
        <v>29653</v>
      </c>
      <c r="C634" s="489">
        <v>57500</v>
      </c>
      <c r="D634" s="488" t="s">
        <v>48</v>
      </c>
      <c r="E634" s="488" t="s">
        <v>1048</v>
      </c>
      <c r="F634" s="488" t="s">
        <v>1458</v>
      </c>
      <c r="G634" s="488" t="s">
        <v>345</v>
      </c>
      <c r="H634" s="502" t="s">
        <v>51</v>
      </c>
      <c r="I634" s="502" t="s">
        <v>281</v>
      </c>
      <c r="J634" s="502" t="s">
        <v>120</v>
      </c>
      <c r="K634" s="502"/>
      <c r="L634" s="520">
        <v>45838</v>
      </c>
      <c r="M634" s="490"/>
      <c r="N634" s="503" t="s">
        <v>40</v>
      </c>
      <c r="O634" s="491">
        <v>725</v>
      </c>
      <c r="P634" s="488" t="s">
        <v>80</v>
      </c>
      <c r="Q634" s="504">
        <f>+O634/C634</f>
        <v>1.2608695652173913E-2</v>
      </c>
      <c r="R634" s="493">
        <v>45859</v>
      </c>
      <c r="S634" s="492" t="s">
        <v>65</v>
      </c>
      <c r="T634" s="490">
        <v>45869</v>
      </c>
      <c r="U634" s="495" t="s">
        <v>167</v>
      </c>
      <c r="V634" s="490" t="s">
        <v>1457</v>
      </c>
      <c r="W634" s="498" t="s">
        <v>45</v>
      </c>
      <c r="X634" s="497">
        <v>26718</v>
      </c>
      <c r="Y634" s="498" t="s">
        <v>46</v>
      </c>
      <c r="Z634" s="498"/>
      <c r="AA634" s="518"/>
      <c r="AB634" s="500"/>
      <c r="AC634" s="490"/>
      <c r="AD634" s="501"/>
      <c r="AE634" s="7">
        <v>45882</v>
      </c>
    </row>
    <row r="635" spans="1:48" s="283" customFormat="1" ht="24.95" hidden="1" customHeight="1" x14ac:dyDescent="0.35">
      <c r="A635" s="487" t="s">
        <v>1459</v>
      </c>
      <c r="B635" s="522">
        <v>29695</v>
      </c>
      <c r="C635" s="521">
        <v>20000</v>
      </c>
      <c r="D635" s="522" t="s">
        <v>264</v>
      </c>
      <c r="E635" s="522" t="s">
        <v>1460</v>
      </c>
      <c r="F635" s="614"/>
      <c r="G635" s="614"/>
      <c r="H635" s="522"/>
      <c r="I635" s="614"/>
      <c r="J635" s="614"/>
      <c r="K635" s="614"/>
      <c r="L635" s="632"/>
      <c r="M635" s="634"/>
      <c r="N635" s="615"/>
      <c r="O635" s="635"/>
      <c r="P635" s="614"/>
      <c r="Q635" s="615"/>
      <c r="R635" s="615"/>
      <c r="S635" s="526"/>
      <c r="T635" s="506" t="s">
        <v>1461</v>
      </c>
      <c r="U635" s="636" t="s">
        <v>66</v>
      </c>
      <c r="V635" s="511" t="s">
        <v>1446</v>
      </c>
      <c r="W635" s="637" t="s">
        <v>45</v>
      </c>
      <c r="X635" s="638"/>
      <c r="Y635" s="637"/>
      <c r="Z635" s="637"/>
      <c r="AA635" s="518"/>
      <c r="AB635" s="525"/>
      <c r="AC635" s="525"/>
      <c r="AD635" s="692"/>
      <c r="AE635" s="7" t="s">
        <v>64</v>
      </c>
      <c r="AF635" s="288"/>
      <c r="AG635" s="288"/>
      <c r="AH635" s="288"/>
      <c r="AI635" s="288"/>
      <c r="AJ635" s="288"/>
      <c r="AK635" s="288"/>
      <c r="AL635" s="288"/>
      <c r="AM635" s="288"/>
      <c r="AN635" s="288"/>
      <c r="AO635" s="288"/>
      <c r="AP635" s="288"/>
      <c r="AQ635" s="288"/>
      <c r="AR635" s="288"/>
      <c r="AS635" s="288"/>
      <c r="AT635" s="288"/>
      <c r="AU635" s="288"/>
      <c r="AV635" s="288"/>
    </row>
    <row r="636" spans="1:48" s="288" customFormat="1" ht="24.95" hidden="1" customHeight="1" x14ac:dyDescent="0.35">
      <c r="A636" s="508" t="s">
        <v>320</v>
      </c>
      <c r="B636" s="509">
        <v>30778</v>
      </c>
      <c r="C636" s="530">
        <v>40000</v>
      </c>
      <c r="D636" s="509" t="s">
        <v>249</v>
      </c>
      <c r="E636" s="509" t="s">
        <v>1296</v>
      </c>
      <c r="F636" s="531"/>
      <c r="G636" s="531"/>
      <c r="H636" s="531"/>
      <c r="I636" s="639" t="s">
        <v>266</v>
      </c>
      <c r="J636" s="509" t="s">
        <v>62</v>
      </c>
      <c r="K636" s="531"/>
      <c r="L636" s="640" t="s">
        <v>1462</v>
      </c>
      <c r="M636" s="645"/>
      <c r="N636" s="714" t="s">
        <v>441</v>
      </c>
      <c r="O636" s="650">
        <v>2390</v>
      </c>
      <c r="P636" s="531" t="s">
        <v>80</v>
      </c>
      <c r="Q636" s="532">
        <v>5.7000000000000002E-2</v>
      </c>
      <c r="R636" s="511" t="s">
        <v>42</v>
      </c>
      <c r="S636" s="613" t="s">
        <v>42</v>
      </c>
      <c r="T636" s="715">
        <v>45874</v>
      </c>
      <c r="U636" s="716" t="s">
        <v>66</v>
      </c>
      <c r="V636" s="645" t="s">
        <v>1463</v>
      </c>
      <c r="W636" s="708" t="s">
        <v>67</v>
      </c>
      <c r="X636" s="717">
        <v>65340</v>
      </c>
      <c r="Y636" s="647" t="s">
        <v>68</v>
      </c>
      <c r="Z636" s="647"/>
      <c r="AA636" s="515"/>
      <c r="AB636" s="515"/>
      <c r="AC636" s="511"/>
      <c r="AD636" s="718"/>
      <c r="AE636" s="25">
        <v>45874</v>
      </c>
    </row>
    <row r="637" spans="1:48" s="288" customFormat="1" ht="24.95" hidden="1" customHeight="1" x14ac:dyDescent="0.3">
      <c r="A637" s="612" t="s">
        <v>69</v>
      </c>
      <c r="B637" s="502">
        <v>30300</v>
      </c>
      <c r="C637" s="552">
        <v>44000</v>
      </c>
      <c r="D637" s="658" t="s">
        <v>48</v>
      </c>
      <c r="E637" s="502" t="s">
        <v>1464</v>
      </c>
      <c r="F637" s="488" t="s">
        <v>1465</v>
      </c>
      <c r="G637" s="488" t="s">
        <v>73</v>
      </c>
      <c r="H637" s="502" t="s">
        <v>51</v>
      </c>
      <c r="I637" s="502" t="s">
        <v>52</v>
      </c>
      <c r="J637" s="502" t="s">
        <v>53</v>
      </c>
      <c r="K637" s="502"/>
      <c r="L637" s="520">
        <v>45838</v>
      </c>
      <c r="M637" s="490"/>
      <c r="N637" s="503" t="s">
        <v>1466</v>
      </c>
      <c r="O637" s="491">
        <f>890/2</f>
        <v>445</v>
      </c>
      <c r="P637" s="488" t="s">
        <v>80</v>
      </c>
      <c r="Q637" s="519"/>
      <c r="R637" s="506">
        <v>45860</v>
      </c>
      <c r="S637" s="492" t="s">
        <v>65</v>
      </c>
      <c r="T637" s="548">
        <v>45872</v>
      </c>
      <c r="U637" s="630" t="s">
        <v>167</v>
      </c>
      <c r="V637" s="490" t="s">
        <v>1457</v>
      </c>
      <c r="W637" s="496" t="s">
        <v>45</v>
      </c>
      <c r="X637" s="622">
        <v>59625</v>
      </c>
      <c r="Y637" s="498" t="s">
        <v>46</v>
      </c>
      <c r="Z637" s="498"/>
      <c r="AA637" s="680"/>
      <c r="AB637" s="680"/>
      <c r="AC637" s="680"/>
      <c r="AD637" s="680"/>
      <c r="AE637" s="7">
        <v>45875</v>
      </c>
    </row>
    <row r="638" spans="1:48" s="288" customFormat="1" ht="24.95" hidden="1" customHeight="1" x14ac:dyDescent="0.3">
      <c r="A638" s="612" t="s">
        <v>856</v>
      </c>
      <c r="B638" s="502">
        <v>30384</v>
      </c>
      <c r="C638" s="552">
        <v>11000</v>
      </c>
      <c r="D638" s="658" t="s">
        <v>48</v>
      </c>
      <c r="E638" s="502" t="s">
        <v>1467</v>
      </c>
      <c r="F638" s="488" t="s">
        <v>1465</v>
      </c>
      <c r="G638" s="488" t="s">
        <v>73</v>
      </c>
      <c r="H638" s="502" t="s">
        <v>51</v>
      </c>
      <c r="I638" s="502" t="s">
        <v>52</v>
      </c>
      <c r="J638" s="502" t="s">
        <v>53</v>
      </c>
      <c r="K638" s="502"/>
      <c r="L638" s="520">
        <v>45838</v>
      </c>
      <c r="M638" s="490"/>
      <c r="N638" s="503" t="s">
        <v>1466</v>
      </c>
      <c r="O638" s="491">
        <f>890/2</f>
        <v>445</v>
      </c>
      <c r="P638" s="488" t="s">
        <v>80</v>
      </c>
      <c r="Q638" s="519"/>
      <c r="R638" s="506">
        <v>45860</v>
      </c>
      <c r="S638" s="492" t="s">
        <v>65</v>
      </c>
      <c r="T638" s="548">
        <v>45872</v>
      </c>
      <c r="U638" s="630" t="s">
        <v>167</v>
      </c>
      <c r="V638" s="490" t="s">
        <v>1457</v>
      </c>
      <c r="W638" s="496" t="s">
        <v>45</v>
      </c>
      <c r="X638" s="622">
        <v>100750</v>
      </c>
      <c r="Y638" s="498" t="s">
        <v>46</v>
      </c>
      <c r="Z638" s="498"/>
      <c r="AA638" s="680"/>
      <c r="AB638" s="680"/>
      <c r="AC638" s="680"/>
      <c r="AD638" s="680"/>
      <c r="AE638" s="7">
        <v>45875</v>
      </c>
    </row>
    <row r="639" spans="1:48" s="288" customFormat="1" ht="24.95" hidden="1" customHeight="1" x14ac:dyDescent="0.3">
      <c r="A639" s="623" t="s">
        <v>200</v>
      </c>
      <c r="B639" s="488">
        <v>30373</v>
      </c>
      <c r="C639" s="489">
        <v>57500</v>
      </c>
      <c r="D639" s="488" t="s">
        <v>33</v>
      </c>
      <c r="E639" s="488" t="s">
        <v>201</v>
      </c>
      <c r="F639" s="488" t="s">
        <v>1468</v>
      </c>
      <c r="G639" s="488" t="s">
        <v>345</v>
      </c>
      <c r="H639" s="502" t="s">
        <v>51</v>
      </c>
      <c r="I639" s="502" t="s">
        <v>281</v>
      </c>
      <c r="J639" s="502" t="s">
        <v>120</v>
      </c>
      <c r="K639" s="502"/>
      <c r="L639" s="520">
        <v>45844</v>
      </c>
      <c r="M639" s="490"/>
      <c r="N639" s="503" t="s">
        <v>40</v>
      </c>
      <c r="O639" s="491">
        <v>725</v>
      </c>
      <c r="P639" s="488" t="s">
        <v>80</v>
      </c>
      <c r="Q639" s="504">
        <f>+O639/C639</f>
        <v>1.2608695652173913E-2</v>
      </c>
      <c r="R639" s="506">
        <v>45863</v>
      </c>
      <c r="S639" s="492" t="s">
        <v>65</v>
      </c>
      <c r="T639" s="648">
        <v>45875</v>
      </c>
      <c r="U639" s="495" t="s">
        <v>76</v>
      </c>
      <c r="V639" s="490" t="s">
        <v>1457</v>
      </c>
      <c r="W639" s="498" t="s">
        <v>45</v>
      </c>
      <c r="X639" s="622">
        <v>197225</v>
      </c>
      <c r="Y639" s="498"/>
      <c r="Z639" s="498"/>
      <c r="AA639" s="680"/>
      <c r="AB639" s="680"/>
      <c r="AC639" s="680"/>
      <c r="AD639" s="680"/>
      <c r="AE639" s="7">
        <v>45882</v>
      </c>
    </row>
    <row r="640" spans="1:48" s="288" customFormat="1" ht="24.95" hidden="1" customHeight="1" x14ac:dyDescent="0.3">
      <c r="A640" s="551" t="s">
        <v>1469</v>
      </c>
      <c r="B640" s="671">
        <v>27803</v>
      </c>
      <c r="C640" s="552">
        <v>58000</v>
      </c>
      <c r="D640" s="502" t="s">
        <v>48</v>
      </c>
      <c r="E640" s="502" t="s">
        <v>1172</v>
      </c>
      <c r="F640" s="488" t="s">
        <v>1470</v>
      </c>
      <c r="G640" s="488" t="s">
        <v>119</v>
      </c>
      <c r="H640" s="502" t="s">
        <v>109</v>
      </c>
      <c r="I640" s="502" t="s">
        <v>52</v>
      </c>
      <c r="J640" s="502" t="s">
        <v>53</v>
      </c>
      <c r="K640" s="502"/>
      <c r="L640" s="520">
        <v>45843</v>
      </c>
      <c r="M640" s="490"/>
      <c r="N640" s="503" t="s">
        <v>40</v>
      </c>
      <c r="O640" s="491">
        <v>575</v>
      </c>
      <c r="P640" s="504" t="s">
        <v>80</v>
      </c>
      <c r="Q640" s="504" t="s">
        <v>64</v>
      </c>
      <c r="R640" s="490">
        <v>45863</v>
      </c>
      <c r="S640" s="492" t="s">
        <v>65</v>
      </c>
      <c r="T640" s="553">
        <v>45870</v>
      </c>
      <c r="U640" s="495" t="s">
        <v>167</v>
      </c>
      <c r="V640" s="490" t="s">
        <v>1449</v>
      </c>
      <c r="W640" s="496" t="s">
        <v>45</v>
      </c>
      <c r="X640" s="622">
        <v>54017.5</v>
      </c>
      <c r="Y640" s="498" t="s">
        <v>46</v>
      </c>
      <c r="Z640" s="498"/>
      <c r="AA640" s="680"/>
      <c r="AB640" s="680"/>
      <c r="AC640" s="680"/>
      <c r="AD640" s="680"/>
      <c r="AE640" s="7">
        <v>45882</v>
      </c>
    </row>
    <row r="641" spans="1:49" s="288" customFormat="1" ht="24.95" hidden="1" customHeight="1" x14ac:dyDescent="0.3">
      <c r="A641" s="551" t="s">
        <v>1469</v>
      </c>
      <c r="B641" s="671">
        <v>27784</v>
      </c>
      <c r="C641" s="552">
        <v>58000</v>
      </c>
      <c r="D641" s="502" t="s">
        <v>48</v>
      </c>
      <c r="E641" s="502" t="s">
        <v>190</v>
      </c>
      <c r="F641" s="488" t="s">
        <v>1471</v>
      </c>
      <c r="G641" s="488" t="s">
        <v>119</v>
      </c>
      <c r="H641" s="502" t="s">
        <v>109</v>
      </c>
      <c r="I641" s="502" t="s">
        <v>52</v>
      </c>
      <c r="J641" s="502" t="s">
        <v>53</v>
      </c>
      <c r="K641" s="502"/>
      <c r="L641" s="520">
        <v>45843</v>
      </c>
      <c r="M641" s="490"/>
      <c r="N641" s="503" t="s">
        <v>40</v>
      </c>
      <c r="O641" s="491">
        <v>725</v>
      </c>
      <c r="P641" s="488" t="s">
        <v>80</v>
      </c>
      <c r="Q641" s="504" t="s">
        <v>64</v>
      </c>
      <c r="R641" s="490">
        <v>45863</v>
      </c>
      <c r="S641" s="492" t="s">
        <v>65</v>
      </c>
      <c r="T641" s="553">
        <v>45870</v>
      </c>
      <c r="U641" s="495" t="s">
        <v>167</v>
      </c>
      <c r="V641" s="490" t="s">
        <v>1472</v>
      </c>
      <c r="W641" s="496" t="s">
        <v>45</v>
      </c>
      <c r="X641" s="622">
        <v>50065</v>
      </c>
      <c r="Y641" s="498" t="s">
        <v>46</v>
      </c>
      <c r="Z641" s="498"/>
      <c r="AA641" s="680"/>
      <c r="AB641" s="680"/>
      <c r="AC641" s="680"/>
      <c r="AD641" s="680"/>
      <c r="AE641" s="7">
        <v>45882</v>
      </c>
    </row>
    <row r="642" spans="1:49" s="288" customFormat="1" ht="23.25" hidden="1" customHeight="1" x14ac:dyDescent="0.3">
      <c r="A642" s="616" t="s">
        <v>136</v>
      </c>
      <c r="B642" s="672">
        <v>30429</v>
      </c>
      <c r="C642" s="617">
        <v>26400</v>
      </c>
      <c r="D642" s="595" t="s">
        <v>105</v>
      </c>
      <c r="E642" s="618" t="s">
        <v>1473</v>
      </c>
      <c r="F642" s="591" t="s">
        <v>1474</v>
      </c>
      <c r="G642" s="591" t="s">
        <v>108</v>
      </c>
      <c r="H642" s="591" t="s">
        <v>51</v>
      </c>
      <c r="I642" s="591" t="s">
        <v>52</v>
      </c>
      <c r="J642" s="591" t="s">
        <v>53</v>
      </c>
      <c r="K642" s="591"/>
      <c r="L642" s="610">
        <v>45815</v>
      </c>
      <c r="M642" s="596"/>
      <c r="N642" s="591" t="s">
        <v>40</v>
      </c>
      <c r="O642" s="624">
        <v>725</v>
      </c>
      <c r="P642" s="591" t="s">
        <v>80</v>
      </c>
      <c r="Q642" s="592">
        <f t="shared" ref="Q642:Q664" si="24">IF(O642="NA","NA",(O642/C642))</f>
        <v>2.7462121212121212E-2</v>
      </c>
      <c r="R642" s="596"/>
      <c r="S642" s="592"/>
      <c r="T642" s="596">
        <v>45875</v>
      </c>
      <c r="U642" s="670" t="s">
        <v>43</v>
      </c>
      <c r="V642" s="596" t="s">
        <v>1457</v>
      </c>
      <c r="W642" s="663" t="s">
        <v>45</v>
      </c>
      <c r="X642" s="622">
        <v>94664</v>
      </c>
      <c r="Y642" s="498" t="s">
        <v>68</v>
      </c>
      <c r="Z642" s="498"/>
      <c r="AA642" s="680"/>
      <c r="AB642" s="680"/>
      <c r="AC642" s="680"/>
      <c r="AD642" s="680"/>
      <c r="AE642" s="7">
        <v>45882</v>
      </c>
    </row>
    <row r="643" spans="1:49" s="288" customFormat="1" ht="24.95" hidden="1" customHeight="1" x14ac:dyDescent="0.3">
      <c r="A643" s="487" t="s">
        <v>636</v>
      </c>
      <c r="B643" s="674">
        <v>29987</v>
      </c>
      <c r="C643" s="489">
        <v>37400</v>
      </c>
      <c r="D643" s="488" t="s">
        <v>105</v>
      </c>
      <c r="E643" s="488" t="s">
        <v>1475</v>
      </c>
      <c r="F643" s="488" t="s">
        <v>1476</v>
      </c>
      <c r="G643" s="488" t="s">
        <v>36</v>
      </c>
      <c r="H643" s="502" t="s">
        <v>37</v>
      </c>
      <c r="I643" s="502" t="s">
        <v>182</v>
      </c>
      <c r="J643" s="502" t="s">
        <v>183</v>
      </c>
      <c r="K643" s="502"/>
      <c r="L643" s="520">
        <v>45822</v>
      </c>
      <c r="M643" s="490" t="s">
        <v>39</v>
      </c>
      <c r="N643" s="503" t="s">
        <v>40</v>
      </c>
      <c r="O643" s="491">
        <f>6430+400</f>
        <v>6830</v>
      </c>
      <c r="P643" s="488" t="s">
        <v>41</v>
      </c>
      <c r="Q643" s="492">
        <f t="shared" si="24"/>
        <v>0.18262032085561497</v>
      </c>
      <c r="R643" s="490">
        <v>45866</v>
      </c>
      <c r="S643" s="492" t="s">
        <v>65</v>
      </c>
      <c r="T643" s="490">
        <v>45875</v>
      </c>
      <c r="U643" s="505" t="s">
        <v>167</v>
      </c>
      <c r="V643" s="490" t="s">
        <v>1477</v>
      </c>
      <c r="W643" s="496" t="s">
        <v>45</v>
      </c>
      <c r="X643" s="622">
        <v>66400</v>
      </c>
      <c r="Y643" s="498" t="s">
        <v>68</v>
      </c>
      <c r="Z643" s="498"/>
      <c r="AA643" s="680"/>
      <c r="AB643" s="680"/>
      <c r="AC643" s="680"/>
      <c r="AD643" s="680"/>
      <c r="AE643" s="7">
        <v>45870</v>
      </c>
    </row>
    <row r="644" spans="1:49" s="288" customFormat="1" ht="24.95" hidden="1" customHeight="1" x14ac:dyDescent="0.35">
      <c r="A644" s="508" t="s">
        <v>267</v>
      </c>
      <c r="B644" s="509">
        <v>28192</v>
      </c>
      <c r="C644" s="510">
        <v>40000</v>
      </c>
      <c r="D644" s="509" t="s">
        <v>249</v>
      </c>
      <c r="E644" s="509" t="s">
        <v>457</v>
      </c>
      <c r="F644" s="509"/>
      <c r="G644" s="509"/>
      <c r="H644" s="509" t="s">
        <v>37</v>
      </c>
      <c r="I644" s="509" t="s">
        <v>269</v>
      </c>
      <c r="J644" s="509" t="s">
        <v>62</v>
      </c>
      <c r="K644" s="509"/>
      <c r="L644" s="511" t="s">
        <v>1478</v>
      </c>
      <c r="M644" s="511"/>
      <c r="N644" s="511" t="s">
        <v>39</v>
      </c>
      <c r="O644" s="512">
        <v>6800</v>
      </c>
      <c r="P644" s="509" t="s">
        <v>80</v>
      </c>
      <c r="Q644" s="513">
        <f t="shared" si="24"/>
        <v>0.17</v>
      </c>
      <c r="R644" s="514"/>
      <c r="S644" s="513"/>
      <c r="T644" s="511">
        <v>45876</v>
      </c>
      <c r="U644" s="516" t="s">
        <v>66</v>
      </c>
      <c r="V644" s="511"/>
      <c r="W644" s="515"/>
      <c r="X644" s="497">
        <v>114000</v>
      </c>
      <c r="Y644" s="498" t="s">
        <v>215</v>
      </c>
      <c r="Z644" s="498"/>
      <c r="AA644" s="693"/>
      <c r="AB644" s="693"/>
      <c r="AC644" s="490"/>
      <c r="AD644" s="501"/>
      <c r="AE644" s="7">
        <v>45882</v>
      </c>
    </row>
    <row r="645" spans="1:49" s="283" customFormat="1" ht="24.95" hidden="1" customHeight="1" x14ac:dyDescent="0.35">
      <c r="A645" s="508" t="s">
        <v>267</v>
      </c>
      <c r="B645" s="509">
        <v>28186</v>
      </c>
      <c r="C645" s="510">
        <v>40000</v>
      </c>
      <c r="D645" s="509" t="s">
        <v>249</v>
      </c>
      <c r="E645" s="509" t="s">
        <v>1203</v>
      </c>
      <c r="F645" s="509"/>
      <c r="G645" s="509"/>
      <c r="H645" s="509" t="s">
        <v>37</v>
      </c>
      <c r="I645" s="509" t="s">
        <v>269</v>
      </c>
      <c r="J645" s="509" t="s">
        <v>62</v>
      </c>
      <c r="K645" s="509"/>
      <c r="L645" s="511" t="s">
        <v>1478</v>
      </c>
      <c r="M645" s="511"/>
      <c r="N645" s="511" t="s">
        <v>39</v>
      </c>
      <c r="O645" s="512">
        <v>6800</v>
      </c>
      <c r="P645" s="509" t="s">
        <v>80</v>
      </c>
      <c r="Q645" s="513">
        <f t="shared" si="24"/>
        <v>0.17</v>
      </c>
      <c r="R645" s="514"/>
      <c r="S645" s="513"/>
      <c r="T645" s="511">
        <v>45876</v>
      </c>
      <c r="U645" s="516" t="s">
        <v>66</v>
      </c>
      <c r="V645" s="511"/>
      <c r="W645" s="515"/>
      <c r="X645" s="497">
        <v>130000</v>
      </c>
      <c r="Y645" s="498" t="s">
        <v>215</v>
      </c>
      <c r="Z645" s="498"/>
      <c r="AA645" s="693"/>
      <c r="AB645" s="693"/>
      <c r="AC645" s="490"/>
      <c r="AD645" s="501"/>
      <c r="AE645" s="7">
        <v>45882</v>
      </c>
      <c r="AF645" s="288"/>
      <c r="AG645" s="288"/>
      <c r="AH645" s="288"/>
      <c r="AI645" s="288"/>
      <c r="AJ645" s="288"/>
      <c r="AK645" s="288"/>
      <c r="AL645" s="288"/>
      <c r="AM645" s="288"/>
      <c r="AN645" s="288"/>
      <c r="AO645" s="288"/>
      <c r="AP645" s="288"/>
      <c r="AQ645" s="288"/>
      <c r="AR645" s="288"/>
      <c r="AS645" s="288"/>
      <c r="AT645" s="288"/>
      <c r="AU645" s="288"/>
      <c r="AV645" s="288"/>
    </row>
    <row r="646" spans="1:49" s="288" customFormat="1" ht="24.95" hidden="1" customHeight="1" x14ac:dyDescent="0.35">
      <c r="A646" s="508" t="s">
        <v>263</v>
      </c>
      <c r="B646" s="673">
        <v>30146</v>
      </c>
      <c r="C646" s="510">
        <v>40000</v>
      </c>
      <c r="D646" s="509" t="s">
        <v>264</v>
      </c>
      <c r="E646" s="509" t="s">
        <v>265</v>
      </c>
      <c r="F646" s="660"/>
      <c r="G646" s="660"/>
      <c r="H646" s="509" t="s">
        <v>37</v>
      </c>
      <c r="I646" s="660" t="s">
        <v>266</v>
      </c>
      <c r="J646" s="660" t="s">
        <v>62</v>
      </c>
      <c r="K646" s="660"/>
      <c r="L646" s="661" t="s">
        <v>1479</v>
      </c>
      <c r="M646" s="662"/>
      <c r="N646" s="660" t="s">
        <v>441</v>
      </c>
      <c r="O646" s="665">
        <v>2640</v>
      </c>
      <c r="P646" s="660" t="s">
        <v>80</v>
      </c>
      <c r="Q646" s="613">
        <f t="shared" si="24"/>
        <v>6.6000000000000003E-2</v>
      </c>
      <c r="R646" s="660" t="s">
        <v>42</v>
      </c>
      <c r="S646" s="613" t="s">
        <v>42</v>
      </c>
      <c r="T646" s="511">
        <v>45880</v>
      </c>
      <c r="U646" s="516" t="s">
        <v>66</v>
      </c>
      <c r="V646" s="511" t="s">
        <v>1457</v>
      </c>
      <c r="W646" s="515" t="s">
        <v>45</v>
      </c>
      <c r="X646" s="622">
        <v>152200</v>
      </c>
      <c r="Y646" s="498" t="s">
        <v>68</v>
      </c>
      <c r="Z646" s="498"/>
      <c r="AA646" s="680"/>
      <c r="AB646" s="680"/>
      <c r="AC646" s="680"/>
      <c r="AD646" s="680"/>
      <c r="AE646" s="7">
        <v>45880</v>
      </c>
    </row>
    <row r="647" spans="1:49" s="288" customFormat="1" ht="24.95" hidden="1" customHeight="1" x14ac:dyDescent="0.3">
      <c r="A647" s="551" t="s">
        <v>1469</v>
      </c>
      <c r="B647" s="671">
        <v>27804</v>
      </c>
      <c r="C647" s="552">
        <v>58000</v>
      </c>
      <c r="D647" s="502" t="s">
        <v>48</v>
      </c>
      <c r="E647" s="502" t="s">
        <v>1172</v>
      </c>
      <c r="F647" s="488" t="s">
        <v>1480</v>
      </c>
      <c r="G647" s="488" t="s">
        <v>119</v>
      </c>
      <c r="H647" s="502" t="s">
        <v>109</v>
      </c>
      <c r="I647" s="502" t="s">
        <v>52</v>
      </c>
      <c r="J647" s="502" t="s">
        <v>53</v>
      </c>
      <c r="K647" s="502"/>
      <c r="L647" s="520">
        <v>45843</v>
      </c>
      <c r="M647" s="490" t="s">
        <v>1481</v>
      </c>
      <c r="N647" s="503" t="s">
        <v>40</v>
      </c>
      <c r="O647" s="491">
        <v>575</v>
      </c>
      <c r="P647" s="504" t="s">
        <v>80</v>
      </c>
      <c r="Q647" s="504">
        <f t="shared" si="24"/>
        <v>9.9137931034482766E-3</v>
      </c>
      <c r="R647" s="490">
        <v>45863</v>
      </c>
      <c r="S647" s="492" t="s">
        <v>65</v>
      </c>
      <c r="T647" s="553">
        <v>45870</v>
      </c>
      <c r="U647" s="495" t="s">
        <v>167</v>
      </c>
      <c r="V647" s="490" t="s">
        <v>1449</v>
      </c>
      <c r="W647" s="496" t="s">
        <v>45</v>
      </c>
      <c r="X647" s="622">
        <v>54017.5</v>
      </c>
      <c r="Y647" s="498" t="s">
        <v>46</v>
      </c>
      <c r="Z647" s="498"/>
      <c r="AA647" s="680"/>
      <c r="AB647" s="680"/>
      <c r="AC647" s="680"/>
      <c r="AD647" s="680"/>
      <c r="AE647" s="7">
        <v>45882</v>
      </c>
    </row>
    <row r="648" spans="1:49" s="283" customFormat="1" ht="24.95" hidden="1" customHeight="1" x14ac:dyDescent="0.35">
      <c r="A648" s="508" t="s">
        <v>259</v>
      </c>
      <c r="B648" s="673">
        <v>30854</v>
      </c>
      <c r="C648" s="510">
        <v>11890</v>
      </c>
      <c r="D648" s="509" t="s">
        <v>264</v>
      </c>
      <c r="E648" s="509" t="s">
        <v>273</v>
      </c>
      <c r="F648" s="660"/>
      <c r="G648" s="660"/>
      <c r="H648" s="509" t="s">
        <v>37</v>
      </c>
      <c r="I648" s="660" t="s">
        <v>1482</v>
      </c>
      <c r="J648" s="660" t="s">
        <v>53</v>
      </c>
      <c r="K648" s="660"/>
      <c r="L648" s="661">
        <v>45875</v>
      </c>
      <c r="M648" s="662"/>
      <c r="N648" s="660" t="s">
        <v>45</v>
      </c>
      <c r="O648" s="665"/>
      <c r="P648" s="660" t="e">
        <f>IF(O648="NA","NA",(N648/B648))</f>
        <v>#VALUE!</v>
      </c>
      <c r="Q648" s="613">
        <f t="shared" si="24"/>
        <v>0</v>
      </c>
      <c r="R648" s="660"/>
      <c r="S648" s="613"/>
      <c r="T648" s="511">
        <v>45882</v>
      </c>
      <c r="U648" s="516" t="s">
        <v>66</v>
      </c>
      <c r="V648" s="511" t="s">
        <v>1483</v>
      </c>
      <c r="W648" s="515" t="s">
        <v>45</v>
      </c>
      <c r="X648" s="528">
        <v>21384</v>
      </c>
      <c r="Y648" s="498" t="s">
        <v>215</v>
      </c>
      <c r="Z648" s="498"/>
      <c r="AA648" s="680"/>
      <c r="AB648" s="680"/>
      <c r="AC648" s="680"/>
      <c r="AD648" s="680"/>
      <c r="AE648" s="7" t="s">
        <v>64</v>
      </c>
      <c r="AF648" s="288"/>
      <c r="AG648" s="288"/>
      <c r="AH648" s="288"/>
      <c r="AI648" s="288"/>
      <c r="AJ648" s="288"/>
      <c r="AK648" s="288"/>
      <c r="AL648" s="288"/>
      <c r="AM648" s="288"/>
      <c r="AN648" s="288"/>
      <c r="AO648" s="288"/>
      <c r="AP648" s="288"/>
      <c r="AQ648" s="288"/>
      <c r="AR648" s="288"/>
      <c r="AS648" s="288"/>
      <c r="AT648" s="288"/>
      <c r="AU648" s="288"/>
      <c r="AV648" s="288"/>
    </row>
    <row r="649" spans="1:49" s="283" customFormat="1" ht="24.95" hidden="1" customHeight="1" x14ac:dyDescent="0.3">
      <c r="A649" s="487" t="s">
        <v>161</v>
      </c>
      <c r="B649" s="674">
        <v>29232</v>
      </c>
      <c r="C649" s="489">
        <v>55000</v>
      </c>
      <c r="D649" s="488" t="s">
        <v>33</v>
      </c>
      <c r="E649" s="488" t="s">
        <v>801</v>
      </c>
      <c r="F649" s="488" t="s">
        <v>1484</v>
      </c>
      <c r="G649" s="488" t="s">
        <v>36</v>
      </c>
      <c r="H649" s="488" t="s">
        <v>164</v>
      </c>
      <c r="I649" s="488" t="s">
        <v>165</v>
      </c>
      <c r="J649" s="488" t="s">
        <v>166</v>
      </c>
      <c r="K649" s="488"/>
      <c r="L649" s="520">
        <v>45821</v>
      </c>
      <c r="M649" s="490" t="s">
        <v>414</v>
      </c>
      <c r="N649" s="488" t="s">
        <v>40</v>
      </c>
      <c r="O649" s="491">
        <v>8725</v>
      </c>
      <c r="P649" s="488" t="s">
        <v>41</v>
      </c>
      <c r="Q649" s="492">
        <f t="shared" si="24"/>
        <v>0.15863636363636363</v>
      </c>
      <c r="R649" s="490">
        <v>45869</v>
      </c>
      <c r="S649" s="492" t="s">
        <v>65</v>
      </c>
      <c r="T649" s="490">
        <f>R649+7</f>
        <v>45876</v>
      </c>
      <c r="U649" s="495" t="s">
        <v>167</v>
      </c>
      <c r="V649" s="490" t="s">
        <v>1457</v>
      </c>
      <c r="W649" s="496" t="s">
        <v>45</v>
      </c>
      <c r="X649" s="622">
        <v>84661.5</v>
      </c>
      <c r="Z649" s="498" t="s">
        <v>41</v>
      </c>
      <c r="AA649" s="680"/>
      <c r="AB649" s="680"/>
      <c r="AC649" s="680"/>
      <c r="AE649" s="7">
        <v>45882</v>
      </c>
      <c r="AF649" s="659"/>
      <c r="AG649" s="288"/>
      <c r="AH649" s="288"/>
      <c r="AI649" s="288"/>
      <c r="AJ649" s="288"/>
      <c r="AK649" s="288"/>
      <c r="AL649" s="288"/>
      <c r="AM649" s="288"/>
      <c r="AN649" s="288"/>
      <c r="AO649" s="288"/>
      <c r="AP649" s="288"/>
      <c r="AQ649" s="288"/>
      <c r="AR649" s="288"/>
      <c r="AS649" s="288"/>
      <c r="AT649" s="288"/>
      <c r="AU649" s="288"/>
      <c r="AV649" s="288"/>
      <c r="AW649" s="288"/>
    </row>
    <row r="650" spans="1:49" s="288" customFormat="1" ht="24.75" hidden="1" customHeight="1" x14ac:dyDescent="0.3">
      <c r="A650" s="586" t="s">
        <v>560</v>
      </c>
      <c r="B650" s="509">
        <v>30958</v>
      </c>
      <c r="C650" s="510">
        <v>16380</v>
      </c>
      <c r="D650" s="509" t="s">
        <v>264</v>
      </c>
      <c r="E650" s="509" t="s">
        <v>1485</v>
      </c>
      <c r="F650" s="509" t="s">
        <v>42</v>
      </c>
      <c r="G650" s="509" t="s">
        <v>42</v>
      </c>
      <c r="H650" s="509" t="s">
        <v>37</v>
      </c>
      <c r="I650" s="509" t="s">
        <v>1332</v>
      </c>
      <c r="J650" s="509" t="s">
        <v>62</v>
      </c>
      <c r="K650" s="509"/>
      <c r="L650" s="511">
        <v>45882</v>
      </c>
      <c r="M650" s="511"/>
      <c r="N650" s="509" t="s">
        <v>441</v>
      </c>
      <c r="O650" s="512">
        <v>1645</v>
      </c>
      <c r="P650" s="509" t="s">
        <v>80</v>
      </c>
      <c r="Q650" s="512">
        <f t="shared" si="24"/>
        <v>0.10042735042735043</v>
      </c>
      <c r="R650" s="511" t="s">
        <v>42</v>
      </c>
      <c r="S650" s="513" t="s">
        <v>42</v>
      </c>
      <c r="T650" s="511">
        <v>45887</v>
      </c>
      <c r="U650" s="516" t="s">
        <v>66</v>
      </c>
      <c r="V650" s="511" t="s">
        <v>1486</v>
      </c>
      <c r="W650" s="515" t="s">
        <v>45</v>
      </c>
      <c r="X650" s="517">
        <v>28821.599999999999</v>
      </c>
      <c r="Y650" s="515" t="s">
        <v>215</v>
      </c>
      <c r="Z650" s="515" t="s">
        <v>41</v>
      </c>
      <c r="AA650" s="518"/>
      <c r="AB650" s="490"/>
      <c r="AC650" s="490"/>
      <c r="AE650" s="7">
        <v>45887</v>
      </c>
      <c r="AF650" s="286"/>
    </row>
    <row r="651" spans="1:49" s="288" customFormat="1" ht="24.95" hidden="1" customHeight="1" x14ac:dyDescent="0.3">
      <c r="A651" s="508" t="s">
        <v>251</v>
      </c>
      <c r="B651" s="509">
        <v>29822</v>
      </c>
      <c r="C651" s="510">
        <v>40500</v>
      </c>
      <c r="D651" s="509" t="s">
        <v>249</v>
      </c>
      <c r="E651" s="509" t="s">
        <v>1444</v>
      </c>
      <c r="F651" s="509"/>
      <c r="G651" s="509"/>
      <c r="H651" s="509" t="s">
        <v>37</v>
      </c>
      <c r="I651" s="509" t="s">
        <v>253</v>
      </c>
      <c r="J651" s="509" t="s">
        <v>62</v>
      </c>
      <c r="K651" s="509"/>
      <c r="L651" s="511">
        <v>45880</v>
      </c>
      <c r="M651" s="511"/>
      <c r="N651" s="509" t="s">
        <v>1487</v>
      </c>
      <c r="O651" s="512">
        <v>4500</v>
      </c>
      <c r="P651" s="509" t="s">
        <v>41</v>
      </c>
      <c r="Q651" s="512">
        <f t="shared" si="24"/>
        <v>0.1111111111111111</v>
      </c>
      <c r="R651" s="511"/>
      <c r="S651" s="513"/>
      <c r="T651" s="511">
        <v>45887</v>
      </c>
      <c r="U651" s="516" t="s">
        <v>66</v>
      </c>
      <c r="V651" s="511" t="s">
        <v>1488</v>
      </c>
      <c r="W651" s="515" t="s">
        <v>45</v>
      </c>
      <c r="X651" s="517">
        <v>144075</v>
      </c>
      <c r="Y651" s="515" t="s">
        <v>215</v>
      </c>
      <c r="Z651" s="515" t="s">
        <v>41</v>
      </c>
      <c r="AA651" s="518"/>
      <c r="AC651" s="490">
        <v>45885</v>
      </c>
      <c r="AD651" s="488" t="s">
        <v>1353</v>
      </c>
      <c r="AE651" s="7">
        <v>45880</v>
      </c>
      <c r="AF651" s="286"/>
    </row>
    <row r="652" spans="1:49" s="283" customFormat="1" ht="24.95" hidden="1" customHeight="1" x14ac:dyDescent="0.35">
      <c r="A652" s="587" t="s">
        <v>104</v>
      </c>
      <c r="B652" s="675">
        <v>30344</v>
      </c>
      <c r="C652" s="669">
        <v>44000</v>
      </c>
      <c r="D652" s="488" t="s">
        <v>105</v>
      </c>
      <c r="E652" s="488" t="s">
        <v>106</v>
      </c>
      <c r="F652" s="523" t="s">
        <v>1489</v>
      </c>
      <c r="G652" s="523" t="s">
        <v>108</v>
      </c>
      <c r="H652" s="488" t="s">
        <v>109</v>
      </c>
      <c r="I652" s="523" t="s">
        <v>52</v>
      </c>
      <c r="J652" s="523" t="s">
        <v>473</v>
      </c>
      <c r="K652" s="523"/>
      <c r="L652" s="490">
        <v>45817</v>
      </c>
      <c r="M652" s="491" t="str">
        <f>IF(OR(H652="cif", H652="cfr"), "-", "INSERT NAME HERE")</f>
        <v>-</v>
      </c>
      <c r="N652" s="523" t="s">
        <v>40</v>
      </c>
      <c r="O652" s="491">
        <v>575</v>
      </c>
      <c r="P652" s="523" t="s">
        <v>80</v>
      </c>
      <c r="Q652" s="492">
        <f t="shared" si="24"/>
        <v>1.3068181818181817E-2</v>
      </c>
      <c r="R652" s="523" t="s">
        <v>42</v>
      </c>
      <c r="S652" s="492" t="s">
        <v>42</v>
      </c>
      <c r="T652" s="490">
        <v>45887</v>
      </c>
      <c r="U652" s="495" t="s">
        <v>43</v>
      </c>
      <c r="V652" s="490" t="s">
        <v>1486</v>
      </c>
      <c r="W652" s="498" t="s">
        <v>45</v>
      </c>
      <c r="X652" s="689">
        <v>50676</v>
      </c>
      <c r="Y652" s="498" t="s">
        <v>46</v>
      </c>
      <c r="Z652" s="498" t="s">
        <v>41</v>
      </c>
      <c r="AA652" s="518"/>
      <c r="AB652" s="490"/>
      <c r="AC652" s="490">
        <v>45887</v>
      </c>
      <c r="AD652" s="490"/>
      <c r="AE652" s="7">
        <v>45882</v>
      </c>
      <c r="AF652" s="680"/>
      <c r="AG652" s="288"/>
      <c r="AH652" s="288"/>
      <c r="AI652" s="288"/>
      <c r="AJ652" s="288"/>
      <c r="AK652" s="288"/>
      <c r="AL652" s="288"/>
      <c r="AM652" s="288"/>
      <c r="AN652" s="288"/>
      <c r="AO652" s="288"/>
      <c r="AP652" s="288"/>
      <c r="AQ652" s="288"/>
      <c r="AR652" s="288"/>
      <c r="AS652" s="288"/>
      <c r="AT652" s="288"/>
      <c r="AU652" s="288"/>
      <c r="AV652" s="288"/>
      <c r="AW652" s="288"/>
    </row>
    <row r="653" spans="1:49" s="288" customFormat="1" ht="24.95" hidden="1" customHeight="1" x14ac:dyDescent="0.3">
      <c r="A653" s="601" t="s">
        <v>289</v>
      </c>
      <c r="B653" s="676">
        <v>29528</v>
      </c>
      <c r="C653" s="602">
        <v>40000</v>
      </c>
      <c r="D653" s="591" t="s">
        <v>105</v>
      </c>
      <c r="E653" s="591" t="s">
        <v>290</v>
      </c>
      <c r="F653" s="664" t="s">
        <v>1490</v>
      </c>
      <c r="G653" s="591" t="s">
        <v>36</v>
      </c>
      <c r="H653" s="591" t="s">
        <v>164</v>
      </c>
      <c r="I653" s="591" t="s">
        <v>291</v>
      </c>
      <c r="J653" s="591" t="s">
        <v>292</v>
      </c>
      <c r="K653" s="591"/>
      <c r="L653" s="596">
        <v>45820</v>
      </c>
      <c r="M653" s="596"/>
      <c r="N653" s="590"/>
      <c r="O653" s="624">
        <v>2455</v>
      </c>
      <c r="P653" s="591" t="s">
        <v>41</v>
      </c>
      <c r="Q653" s="592">
        <f t="shared" si="24"/>
        <v>6.1374999999999999E-2</v>
      </c>
      <c r="R653" s="596" t="s">
        <v>42</v>
      </c>
      <c r="S653" s="592" t="s">
        <v>42</v>
      </c>
      <c r="T653" s="596">
        <v>45885</v>
      </c>
      <c r="U653" s="592" t="s">
        <v>65</v>
      </c>
      <c r="V653" s="596" t="s">
        <v>1486</v>
      </c>
      <c r="W653" s="594" t="s">
        <v>1491</v>
      </c>
      <c r="X653" s="689">
        <v>40640</v>
      </c>
      <c r="Y653" s="498" t="s">
        <v>46</v>
      </c>
      <c r="Z653" s="498" t="s">
        <v>41</v>
      </c>
      <c r="AA653" s="518"/>
      <c r="AB653" s="490"/>
      <c r="AC653" s="490">
        <v>45885</v>
      </c>
      <c r="AD653" s="490"/>
      <c r="AE653" s="7">
        <v>45885</v>
      </c>
      <c r="AF653" s="680"/>
    </row>
    <row r="654" spans="1:49" s="288" customFormat="1" ht="24.95" hidden="1" customHeight="1" x14ac:dyDescent="0.3">
      <c r="A654" s="587" t="s">
        <v>1492</v>
      </c>
      <c r="B654" s="674">
        <v>30416</v>
      </c>
      <c r="C654" s="489">
        <v>52800</v>
      </c>
      <c r="D654" s="488" t="s">
        <v>48</v>
      </c>
      <c r="E654" s="488" t="s">
        <v>1493</v>
      </c>
      <c r="F654" s="488" t="s">
        <v>1494</v>
      </c>
      <c r="G654" s="488" t="s">
        <v>36</v>
      </c>
      <c r="H654" s="502" t="s">
        <v>109</v>
      </c>
      <c r="I654" s="502" t="s">
        <v>52</v>
      </c>
      <c r="J654" s="502" t="s">
        <v>53</v>
      </c>
      <c r="K654" s="502"/>
      <c r="L654" s="490">
        <v>45851</v>
      </c>
      <c r="M654" s="491" t="str">
        <f>IF(OR(H654="cif", H654="cfr"), "-", "INSERT NAME HERE")</f>
        <v>-</v>
      </c>
      <c r="N654" s="503" t="s">
        <v>40</v>
      </c>
      <c r="O654" s="491">
        <v>575</v>
      </c>
      <c r="P654" s="488" t="s">
        <v>80</v>
      </c>
      <c r="Q654" s="492">
        <f t="shared" si="24"/>
        <v>1.0890151515151516E-2</v>
      </c>
      <c r="R654" s="490" t="s">
        <v>42</v>
      </c>
      <c r="S654" s="490" t="s">
        <v>42</v>
      </c>
      <c r="T654" s="490">
        <v>45886</v>
      </c>
      <c r="U654" s="495" t="s">
        <v>43</v>
      </c>
      <c r="V654" s="490" t="s">
        <v>1486</v>
      </c>
      <c r="W654" s="498" t="s">
        <v>45</v>
      </c>
      <c r="X654" s="689">
        <v>92000</v>
      </c>
      <c r="Y654" s="498" t="s">
        <v>46</v>
      </c>
      <c r="Z654" s="498" t="s">
        <v>41</v>
      </c>
      <c r="AA654" s="518"/>
      <c r="AB654" s="490"/>
      <c r="AC654" s="490">
        <v>45885</v>
      </c>
      <c r="AD654" s="490"/>
      <c r="AE654" s="7">
        <v>45896</v>
      </c>
      <c r="AF654" s="680"/>
    </row>
    <row r="655" spans="1:49" s="288" customFormat="1" ht="24.95" hidden="1" customHeight="1" x14ac:dyDescent="0.35">
      <c r="A655" s="587" t="s">
        <v>47</v>
      </c>
      <c r="B655" s="674">
        <v>27258</v>
      </c>
      <c r="C655" s="489">
        <v>55000</v>
      </c>
      <c r="D655" s="488" t="s">
        <v>48</v>
      </c>
      <c r="E655" s="488" t="s">
        <v>49</v>
      </c>
      <c r="F655" s="488" t="s">
        <v>1495</v>
      </c>
      <c r="G655" s="523" t="s">
        <v>36</v>
      </c>
      <c r="H655" s="488" t="s">
        <v>51</v>
      </c>
      <c r="I655" s="488" t="s">
        <v>52</v>
      </c>
      <c r="J655" s="488" t="s">
        <v>53</v>
      </c>
      <c r="K655" s="488"/>
      <c r="L655" s="490">
        <v>45827</v>
      </c>
      <c r="M655" s="491" t="str">
        <f>IF(OR(H655="cif", H655="cfr"), "-", "INSERT NAME HERE")</f>
        <v>-</v>
      </c>
      <c r="N655" s="503" t="s">
        <v>40</v>
      </c>
      <c r="O655" s="491">
        <v>575</v>
      </c>
      <c r="P655" s="488" t="s">
        <v>80</v>
      </c>
      <c r="Q655" s="494">
        <f t="shared" si="24"/>
        <v>1.0454545454545454E-2</v>
      </c>
      <c r="R655" s="493" t="s">
        <v>42</v>
      </c>
      <c r="S655" s="494" t="s">
        <v>42</v>
      </c>
      <c r="T655" s="490">
        <v>45888</v>
      </c>
      <c r="U655" s="495" t="s">
        <v>43</v>
      </c>
      <c r="V655" s="490" t="s">
        <v>1486</v>
      </c>
      <c r="W655" s="498" t="s">
        <v>67</v>
      </c>
      <c r="X655" s="690">
        <v>26717.599999999999</v>
      </c>
      <c r="Y655" s="498" t="s">
        <v>46</v>
      </c>
      <c r="Z655" s="498" t="s">
        <v>41</v>
      </c>
      <c r="AA655" s="518"/>
      <c r="AB655" s="490"/>
      <c r="AC655" s="490">
        <v>45887</v>
      </c>
      <c r="AD655" s="490"/>
      <c r="AE655" s="7">
        <v>45882</v>
      </c>
      <c r="AF655" s="680"/>
    </row>
    <row r="656" spans="1:49" s="288" customFormat="1" ht="24.95" hidden="1" customHeight="1" x14ac:dyDescent="0.3">
      <c r="A656" s="508" t="s">
        <v>313</v>
      </c>
      <c r="B656" s="509">
        <v>31057</v>
      </c>
      <c r="C656" s="510">
        <f>19000*2.20462</f>
        <v>41887.78</v>
      </c>
      <c r="D656" s="509" t="s">
        <v>249</v>
      </c>
      <c r="E656" s="509" t="s">
        <v>318</v>
      </c>
      <c r="F656" s="509" t="s">
        <v>42</v>
      </c>
      <c r="G656" s="509" t="s">
        <v>42</v>
      </c>
      <c r="H656" s="509" t="s">
        <v>1496</v>
      </c>
      <c r="I656" s="509" t="s">
        <v>1497</v>
      </c>
      <c r="J656" s="509" t="s">
        <v>62</v>
      </c>
      <c r="K656" s="509"/>
      <c r="L656" s="633">
        <v>45888</v>
      </c>
      <c r="M656" s="511" t="s">
        <v>42</v>
      </c>
      <c r="N656" s="509" t="s">
        <v>357</v>
      </c>
      <c r="O656" s="512">
        <v>2895</v>
      </c>
      <c r="P656" s="488" t="s">
        <v>80</v>
      </c>
      <c r="Q656" s="513">
        <f t="shared" si="24"/>
        <v>6.9113235411377733E-2</v>
      </c>
      <c r="R656" s="651" t="s">
        <v>42</v>
      </c>
      <c r="S656" s="513" t="s">
        <v>42</v>
      </c>
      <c r="T656" s="708">
        <v>45891</v>
      </c>
      <c r="U656" s="516" t="s">
        <v>66</v>
      </c>
      <c r="V656" s="511" t="s">
        <v>1488</v>
      </c>
      <c r="W656" s="515" t="s">
        <v>45</v>
      </c>
      <c r="X656" s="517">
        <v>23408</v>
      </c>
      <c r="Y656" s="515" t="s">
        <v>215</v>
      </c>
      <c r="Z656" s="652" t="s">
        <v>41</v>
      </c>
      <c r="AA656" s="518"/>
      <c r="AB656" s="490"/>
      <c r="AC656" s="540"/>
      <c r="AD656" s="490"/>
      <c r="AE656" s="7">
        <v>45896</v>
      </c>
    </row>
    <row r="657" spans="1:52" s="288" customFormat="1" ht="24.95" hidden="1" customHeight="1" x14ac:dyDescent="0.35">
      <c r="A657" s="586" t="s">
        <v>840</v>
      </c>
      <c r="B657" s="673">
        <v>30892</v>
      </c>
      <c r="C657" s="510">
        <f>21450*2.20462</f>
        <v>47289.098999999995</v>
      </c>
      <c r="D657" s="509" t="s">
        <v>249</v>
      </c>
      <c r="E657" s="509" t="s">
        <v>841</v>
      </c>
      <c r="F657" s="660" t="s">
        <v>42</v>
      </c>
      <c r="G657" s="660" t="s">
        <v>42</v>
      </c>
      <c r="H657" s="509" t="s">
        <v>37</v>
      </c>
      <c r="I657" s="660" t="s">
        <v>1498</v>
      </c>
      <c r="J657" s="660" t="s">
        <v>53</v>
      </c>
      <c r="K657" s="660"/>
      <c r="L657" s="511">
        <v>45883</v>
      </c>
      <c r="M657" s="662" t="s">
        <v>42</v>
      </c>
      <c r="N657" s="660" t="s">
        <v>1499</v>
      </c>
      <c r="O657" s="665">
        <v>4062.5</v>
      </c>
      <c r="P657" s="660" t="s">
        <v>80</v>
      </c>
      <c r="Q657" s="613">
        <f t="shared" si="24"/>
        <v>8.5907747999174194E-2</v>
      </c>
      <c r="R657" s="660" t="s">
        <v>42</v>
      </c>
      <c r="S657" s="613" t="s">
        <v>42</v>
      </c>
      <c r="T657" s="511">
        <v>45894</v>
      </c>
      <c r="U657" s="516" t="s">
        <v>66</v>
      </c>
      <c r="V657" s="511" t="s">
        <v>1500</v>
      </c>
      <c r="W657" s="515" t="s">
        <v>67</v>
      </c>
      <c r="X657" s="517">
        <v>110553.3</v>
      </c>
      <c r="Y657" s="515" t="s">
        <v>215</v>
      </c>
      <c r="Z657" s="515" t="s">
        <v>80</v>
      </c>
      <c r="AA657" s="518"/>
      <c r="AB657" s="490"/>
      <c r="AC657" s="490" t="s">
        <v>42</v>
      </c>
      <c r="AD657" s="490"/>
      <c r="AE657" s="7">
        <v>45894</v>
      </c>
      <c r="AF657" s="680"/>
    </row>
    <row r="658" spans="1:52" s="707" customFormat="1" ht="24.95" hidden="1" customHeight="1" x14ac:dyDescent="0.35">
      <c r="A658" s="587" t="s">
        <v>1501</v>
      </c>
      <c r="B658" s="674">
        <v>29660</v>
      </c>
      <c r="C658" s="489">
        <v>35000</v>
      </c>
      <c r="D658" s="488" t="s">
        <v>105</v>
      </c>
      <c r="E658" s="488" t="s">
        <v>280</v>
      </c>
      <c r="F658" s="488" t="s">
        <v>1502</v>
      </c>
      <c r="G658" s="523" t="s">
        <v>36</v>
      </c>
      <c r="H658" s="502" t="s">
        <v>37</v>
      </c>
      <c r="I658" s="502" t="s">
        <v>281</v>
      </c>
      <c r="J658" s="502" t="s">
        <v>120</v>
      </c>
      <c r="K658" s="502"/>
      <c r="L658" s="490">
        <v>45852</v>
      </c>
      <c r="M658" s="490" t="s">
        <v>39</v>
      </c>
      <c r="N658" s="503" t="s">
        <v>40</v>
      </c>
      <c r="O658" s="491">
        <v>3850</v>
      </c>
      <c r="P658" s="523" t="s">
        <v>41</v>
      </c>
      <c r="Q658" s="492">
        <f t="shared" si="24"/>
        <v>0.11</v>
      </c>
      <c r="R658" s="490">
        <v>45883</v>
      </c>
      <c r="S658" s="492" t="s">
        <v>65</v>
      </c>
      <c r="T658" s="553">
        <v>45893</v>
      </c>
      <c r="U658" s="505" t="s">
        <v>76</v>
      </c>
      <c r="V658" s="490" t="s">
        <v>1500</v>
      </c>
      <c r="W658" s="496" t="s">
        <v>45</v>
      </c>
      <c r="X658" s="622">
        <v>122500</v>
      </c>
      <c r="Y658" s="498" t="s">
        <v>68</v>
      </c>
      <c r="Z658" s="498" t="s">
        <v>41</v>
      </c>
      <c r="AA658" s="693"/>
      <c r="AB658" s="490"/>
      <c r="AC658" s="490">
        <v>45893</v>
      </c>
      <c r="AD658" s="490"/>
      <c r="AE658" s="7">
        <v>45883</v>
      </c>
      <c r="AF658" s="298"/>
      <c r="AG658" s="298"/>
      <c r="AH658" s="298"/>
      <c r="AI658" s="298"/>
      <c r="AJ658" s="298"/>
      <c r="AK658" s="298"/>
      <c r="AL658" s="298"/>
      <c r="AM658" s="298"/>
      <c r="AN658" s="298"/>
      <c r="AO658" s="298"/>
      <c r="AP658" s="298"/>
      <c r="AQ658" s="298"/>
      <c r="AR658" s="298"/>
      <c r="AS658" s="298"/>
      <c r="AT658" s="298"/>
      <c r="AU658" s="298"/>
      <c r="AV658" s="298"/>
      <c r="AW658" s="298"/>
      <c r="AX658" s="298"/>
      <c r="AY658" s="298"/>
      <c r="AZ658" s="298"/>
    </row>
    <row r="659" spans="1:52" s="288" customFormat="1" ht="24.75" hidden="1" customHeight="1" x14ac:dyDescent="0.3">
      <c r="A659" s="587" t="s">
        <v>161</v>
      </c>
      <c r="B659" s="674">
        <v>29233</v>
      </c>
      <c r="C659" s="489">
        <v>55000</v>
      </c>
      <c r="D659" s="488" t="s">
        <v>33</v>
      </c>
      <c r="E659" s="488" t="s">
        <v>162</v>
      </c>
      <c r="F659" s="488" t="s">
        <v>1503</v>
      </c>
      <c r="G659" s="488" t="s">
        <v>36</v>
      </c>
      <c r="H659" s="488" t="s">
        <v>164</v>
      </c>
      <c r="I659" s="488" t="s">
        <v>165</v>
      </c>
      <c r="J659" s="488" t="s">
        <v>166</v>
      </c>
      <c r="K659" s="488"/>
      <c r="L659" s="490">
        <v>45831</v>
      </c>
      <c r="M659" s="490" t="s">
        <v>414</v>
      </c>
      <c r="N659" s="503" t="s">
        <v>40</v>
      </c>
      <c r="O659" s="491">
        <v>6337.5</v>
      </c>
      <c r="P659" s="488" t="s">
        <v>41</v>
      </c>
      <c r="Q659" s="492">
        <f t="shared" si="24"/>
        <v>0.11522727272727273</v>
      </c>
      <c r="R659" s="490">
        <v>45876</v>
      </c>
      <c r="S659" s="492" t="s">
        <v>65</v>
      </c>
      <c r="T659" s="490">
        <v>45893</v>
      </c>
      <c r="U659" s="495" t="s">
        <v>76</v>
      </c>
      <c r="V659" s="490" t="s">
        <v>1500</v>
      </c>
      <c r="W659" s="496" t="s">
        <v>45</v>
      </c>
      <c r="X659" s="622">
        <v>85448</v>
      </c>
      <c r="Y659" s="498" t="s">
        <v>46</v>
      </c>
      <c r="Z659" s="498" t="s">
        <v>41</v>
      </c>
      <c r="AA659" s="518"/>
      <c r="AB659" s="490"/>
      <c r="AC659" s="490">
        <v>45893</v>
      </c>
      <c r="AD659" s="490"/>
      <c r="AE659" s="7">
        <v>45894</v>
      </c>
      <c r="AF659" s="680"/>
    </row>
    <row r="660" spans="1:52" s="413" customFormat="1" ht="24.95" hidden="1" customHeight="1" x14ac:dyDescent="0.3">
      <c r="A660" s="508" t="s">
        <v>113</v>
      </c>
      <c r="B660" s="509">
        <v>30743</v>
      </c>
      <c r="C660" s="510">
        <f>7834*2.2046</f>
        <v>17270.8364</v>
      </c>
      <c r="D660" s="509">
        <v>8</v>
      </c>
      <c r="E660" s="509" t="s">
        <v>1504</v>
      </c>
      <c r="F660" s="509" t="s">
        <v>42</v>
      </c>
      <c r="G660" s="509" t="s">
        <v>42</v>
      </c>
      <c r="H660" s="509" t="s">
        <v>37</v>
      </c>
      <c r="I660" s="509" t="s">
        <v>115</v>
      </c>
      <c r="J660" s="509" t="s">
        <v>62</v>
      </c>
      <c r="K660" s="509"/>
      <c r="L660" s="511">
        <v>45889</v>
      </c>
      <c r="M660" s="511" t="s">
        <v>42</v>
      </c>
      <c r="N660" s="509" t="s">
        <v>441</v>
      </c>
      <c r="O660" s="512">
        <v>2995</v>
      </c>
      <c r="P660" s="509" t="s">
        <v>80</v>
      </c>
      <c r="Q660" s="513">
        <f t="shared" si="24"/>
        <v>0.17341372071592318</v>
      </c>
      <c r="R660" s="543"/>
      <c r="S660" s="544"/>
      <c r="T660" s="711">
        <v>45902</v>
      </c>
      <c r="U660" s="539" t="s">
        <v>66</v>
      </c>
      <c r="V660" s="511" t="s">
        <v>1505</v>
      </c>
      <c r="W660" s="545" t="s">
        <v>45</v>
      </c>
      <c r="X660" s="517">
        <v>56071.44</v>
      </c>
      <c r="Y660" s="515" t="s">
        <v>215</v>
      </c>
      <c r="Z660" s="693" t="s">
        <v>41</v>
      </c>
      <c r="AA660" s="518"/>
      <c r="AB660" s="490"/>
      <c r="AC660" s="490">
        <v>45898</v>
      </c>
      <c r="AD660" s="490"/>
      <c r="AE660" s="7">
        <v>45903</v>
      </c>
      <c r="AF660" s="583"/>
      <c r="AG660" s="288"/>
      <c r="AH660" s="288"/>
      <c r="AI660" s="288"/>
      <c r="AJ660" s="288"/>
      <c r="AK660" s="288"/>
      <c r="AL660" s="288"/>
      <c r="AM660" s="288"/>
      <c r="AN660" s="288"/>
      <c r="AO660" s="288"/>
      <c r="AP660" s="288"/>
      <c r="AQ660" s="288"/>
      <c r="AR660" s="288"/>
      <c r="AS660" s="288"/>
      <c r="AT660" s="288"/>
      <c r="AU660" s="288"/>
      <c r="AV660" s="288"/>
      <c r="AW660" s="288"/>
      <c r="AX660" s="288"/>
      <c r="AY660" s="288"/>
      <c r="AZ660" s="288"/>
    </row>
    <row r="661" spans="1:52" s="730" customFormat="1" ht="24.95" hidden="1" customHeight="1" x14ac:dyDescent="0.3">
      <c r="A661" s="719" t="s">
        <v>320</v>
      </c>
      <c r="B661" s="720">
        <v>28287</v>
      </c>
      <c r="C661" s="721">
        <v>36900</v>
      </c>
      <c r="D661" s="720" t="s">
        <v>249</v>
      </c>
      <c r="E661" s="720" t="s">
        <v>321</v>
      </c>
      <c r="F661" s="720" t="s">
        <v>42</v>
      </c>
      <c r="G661" s="720" t="s">
        <v>42</v>
      </c>
      <c r="H661" s="720" t="s">
        <v>164</v>
      </c>
      <c r="I661" s="720" t="s">
        <v>266</v>
      </c>
      <c r="J661" s="720" t="s">
        <v>62</v>
      </c>
      <c r="K661" s="720"/>
      <c r="L661" s="722">
        <v>45902</v>
      </c>
      <c r="M661" s="722" t="s">
        <v>42</v>
      </c>
      <c r="N661" s="720" t="s">
        <v>441</v>
      </c>
      <c r="O661" s="723">
        <v>1081</v>
      </c>
      <c r="P661" s="720" t="s">
        <v>80</v>
      </c>
      <c r="Q661" s="724">
        <f t="shared" si="24"/>
        <v>2.9295392953929539E-2</v>
      </c>
      <c r="R661" s="725" t="s">
        <v>42</v>
      </c>
      <c r="S661" s="724" t="s">
        <v>42</v>
      </c>
      <c r="T661" s="722">
        <f>L661+3</f>
        <v>45905</v>
      </c>
      <c r="U661" s="726" t="s">
        <v>1506</v>
      </c>
      <c r="V661" s="722" t="s">
        <v>1505</v>
      </c>
      <c r="W661" s="727" t="s">
        <v>45</v>
      </c>
      <c r="X661" s="728">
        <v>55440</v>
      </c>
      <c r="Y661" s="727" t="s">
        <v>215</v>
      </c>
      <c r="Z661" s="693"/>
      <c r="AA661" s="729"/>
      <c r="AB661" s="722"/>
      <c r="AC661" s="722"/>
      <c r="AD661" s="490"/>
      <c r="AE661" s="7">
        <v>45903</v>
      </c>
      <c r="AF661" s="729"/>
    </row>
    <row r="662" spans="1:52" s="288" customFormat="1" ht="24.95" hidden="1" customHeight="1" x14ac:dyDescent="0.3">
      <c r="A662" s="487" t="s">
        <v>1507</v>
      </c>
      <c r="B662" s="488">
        <v>30690</v>
      </c>
      <c r="C662" s="489">
        <v>55000</v>
      </c>
      <c r="D662" s="488" t="s">
        <v>48</v>
      </c>
      <c r="E662" s="488" t="s">
        <v>1508</v>
      </c>
      <c r="F662" s="488" t="s">
        <v>1509</v>
      </c>
      <c r="G662" s="488" t="s">
        <v>130</v>
      </c>
      <c r="H662" s="488" t="s">
        <v>51</v>
      </c>
      <c r="I662" s="684" t="e" vm="7">
        <v>#VALUE!</v>
      </c>
      <c r="J662" s="488" t="s">
        <v>285</v>
      </c>
      <c r="K662" s="488"/>
      <c r="L662" s="490">
        <v>45846</v>
      </c>
      <c r="M662" s="491" t="str">
        <f>IF(OR(H662="cif", H662="cfr"), "-", "INSERT NAME HERE")</f>
        <v>-</v>
      </c>
      <c r="N662" s="503" t="s">
        <v>40</v>
      </c>
      <c r="O662" s="491">
        <v>575</v>
      </c>
      <c r="P662" s="488" t="s">
        <v>80</v>
      </c>
      <c r="Q662" s="504">
        <f t="shared" si="24"/>
        <v>1.0454545454545454E-2</v>
      </c>
      <c r="R662" s="490" t="s">
        <v>42</v>
      </c>
      <c r="S662" s="490" t="s">
        <v>42</v>
      </c>
      <c r="T662" s="490">
        <v>45894</v>
      </c>
      <c r="U662" s="505" t="s">
        <v>43</v>
      </c>
      <c r="V662" s="490" t="s">
        <v>1500</v>
      </c>
      <c r="W662" s="496" t="s">
        <v>67</v>
      </c>
      <c r="X662" s="622">
        <f>258500*0.8</f>
        <v>206800</v>
      </c>
      <c r="Y662" s="498" t="s">
        <v>46</v>
      </c>
      <c r="Z662" s="498" t="s">
        <v>41</v>
      </c>
      <c r="AA662" s="709"/>
      <c r="AB662" s="490"/>
      <c r="AC662" s="490">
        <v>45895</v>
      </c>
      <c r="AD662" s="490"/>
      <c r="AE662" s="7">
        <v>45920</v>
      </c>
      <c r="AF662" s="680"/>
    </row>
    <row r="663" spans="1:52" s="413" customFormat="1" ht="24.95" hidden="1" customHeight="1" x14ac:dyDescent="0.3">
      <c r="A663" s="508" t="s">
        <v>254</v>
      </c>
      <c r="B663" s="509">
        <v>31264</v>
      </c>
      <c r="C663" s="510">
        <f>16650*2.20462</f>
        <v>36706.922999999995</v>
      </c>
      <c r="D663" s="509" t="s">
        <v>249</v>
      </c>
      <c r="E663" s="509" t="s">
        <v>1510</v>
      </c>
      <c r="F663" s="509" t="s">
        <v>42</v>
      </c>
      <c r="G663" s="509" t="s">
        <v>42</v>
      </c>
      <c r="H663" s="509" t="s">
        <v>37</v>
      </c>
      <c r="I663" s="509" t="s">
        <v>741</v>
      </c>
      <c r="J663" s="509" t="s">
        <v>62</v>
      </c>
      <c r="K663" s="509"/>
      <c r="L663" s="511">
        <v>45905</v>
      </c>
      <c r="M663" s="511"/>
      <c r="N663" s="509" t="s">
        <v>357</v>
      </c>
      <c r="O663" s="512">
        <v>2195</v>
      </c>
      <c r="P663" s="509" t="s">
        <v>80</v>
      </c>
      <c r="Q663" s="513">
        <f t="shared" si="24"/>
        <v>5.9797984156830589E-2</v>
      </c>
      <c r="R663" s="543"/>
      <c r="S663" s="544"/>
      <c r="T663" s="545"/>
      <c r="U663" s="539"/>
      <c r="V663" s="511" t="s">
        <v>1511</v>
      </c>
      <c r="W663" s="545"/>
      <c r="X663" s="712">
        <v>70264.800000000003</v>
      </c>
      <c r="Y663" s="515" t="s">
        <v>79</v>
      </c>
      <c r="Z663" s="518"/>
      <c r="AA663" s="518"/>
      <c r="AB663" s="490"/>
      <c r="AC663" s="490">
        <v>45906</v>
      </c>
      <c r="AD663" s="490"/>
      <c r="AE663" s="7">
        <v>45905</v>
      </c>
      <c r="AF663" s="288"/>
      <c r="AG663" s="288"/>
      <c r="AH663" s="288"/>
      <c r="AI663" s="288"/>
      <c r="AJ663" s="288"/>
      <c r="AK663" s="288"/>
      <c r="AL663" s="288"/>
      <c r="AM663" s="288"/>
      <c r="AN663" s="288"/>
      <c r="AO663" s="288"/>
      <c r="AP663" s="288"/>
      <c r="AQ663" s="288"/>
      <c r="AR663" s="288"/>
      <c r="AS663" s="288"/>
      <c r="AT663" s="288"/>
      <c r="AU663" s="288"/>
      <c r="AV663" s="288"/>
      <c r="AW663" s="288"/>
      <c r="AX663" s="288"/>
      <c r="AY663" s="288"/>
      <c r="AZ663" s="288"/>
    </row>
    <row r="664" spans="1:52" s="288" customFormat="1" ht="24.95" hidden="1" customHeight="1" x14ac:dyDescent="0.3">
      <c r="A664" s="612" t="s">
        <v>287</v>
      </c>
      <c r="B664" s="671">
        <v>30827</v>
      </c>
      <c r="C664" s="552">
        <v>44000</v>
      </c>
      <c r="D664" s="502" t="s">
        <v>48</v>
      </c>
      <c r="E664" s="502" t="s">
        <v>1512</v>
      </c>
      <c r="F664" s="502" t="s">
        <v>1513</v>
      </c>
      <c r="G664" s="488" t="s">
        <v>119</v>
      </c>
      <c r="H664" s="502" t="s">
        <v>51</v>
      </c>
      <c r="I664" s="502" t="e" vm="1">
        <v>#VALUE!</v>
      </c>
      <c r="J664" s="502" t="s">
        <v>53</v>
      </c>
      <c r="K664" s="502"/>
      <c r="L664" s="490">
        <v>45869</v>
      </c>
      <c r="M664" s="491" t="str">
        <f>IF(OR(H664="cif", H664="cfr"), "-", "INSERT NAME HERE")</f>
        <v>-</v>
      </c>
      <c r="N664" s="503" t="s">
        <v>40</v>
      </c>
      <c r="O664" s="491">
        <v>575</v>
      </c>
      <c r="P664" s="488" t="s">
        <v>80</v>
      </c>
      <c r="Q664" s="492">
        <f t="shared" si="24"/>
        <v>1.3068181818181817E-2</v>
      </c>
      <c r="R664" s="490" t="s">
        <v>42</v>
      </c>
      <c r="S664" s="490" t="s">
        <v>42</v>
      </c>
      <c r="T664" s="490">
        <v>45905</v>
      </c>
      <c r="U664" s="505" t="s">
        <v>43</v>
      </c>
      <c r="V664" s="490" t="s">
        <v>1505</v>
      </c>
      <c r="W664" s="496" t="s">
        <v>45</v>
      </c>
      <c r="X664" s="622">
        <v>55062.5</v>
      </c>
      <c r="Y664" s="498" t="s">
        <v>68</v>
      </c>
      <c r="Z664" s="498" t="s">
        <v>41</v>
      </c>
      <c r="AA664" s="490">
        <v>45909</v>
      </c>
      <c r="AB664" s="490"/>
      <c r="AC664" s="490">
        <v>45905</v>
      </c>
      <c r="AD664" s="490"/>
      <c r="AE664" s="7">
        <v>45920</v>
      </c>
      <c r="AF664" s="680"/>
    </row>
    <row r="665" spans="1:52" s="413" customFormat="1" ht="24.95" hidden="1" customHeight="1" x14ac:dyDescent="0.35">
      <c r="A665" s="508" t="s">
        <v>529</v>
      </c>
      <c r="B665" s="509">
        <v>31439</v>
      </c>
      <c r="C665" s="510">
        <v>55000</v>
      </c>
      <c r="D665" s="509" t="s">
        <v>249</v>
      </c>
      <c r="E665" s="509" t="s">
        <v>1514</v>
      </c>
      <c r="F665" s="509"/>
      <c r="G665" s="509"/>
      <c r="H665" s="509" t="s">
        <v>60</v>
      </c>
      <c r="I665" s="509" t="s">
        <v>213</v>
      </c>
      <c r="J665" s="509" t="s">
        <v>53</v>
      </c>
      <c r="K665" s="509"/>
      <c r="L665" s="633">
        <v>45903</v>
      </c>
      <c r="M665" s="511" t="s">
        <v>42</v>
      </c>
      <c r="N665" s="509" t="s">
        <v>1515</v>
      </c>
      <c r="O665" s="512">
        <v>0</v>
      </c>
      <c r="P665" s="509" t="s">
        <v>80</v>
      </c>
      <c r="Q665" s="513" t="s">
        <v>42</v>
      </c>
      <c r="R665" s="543" t="s">
        <v>42</v>
      </c>
      <c r="S665" s="544" t="s">
        <v>42</v>
      </c>
      <c r="T665" s="545" t="s">
        <v>42</v>
      </c>
      <c r="U665" s="539" t="s">
        <v>66</v>
      </c>
      <c r="V665" s="511"/>
      <c r="W665" s="545"/>
      <c r="X665" s="712">
        <v>48225</v>
      </c>
      <c r="Y665" s="515" t="s">
        <v>215</v>
      </c>
      <c r="Z665" s="518" t="s">
        <v>80</v>
      </c>
      <c r="AA665" s="518"/>
      <c r="AB665" s="490"/>
      <c r="AC665" s="501" t="s">
        <v>42</v>
      </c>
      <c r="AD665" s="490"/>
      <c r="AE665" s="7" t="s">
        <v>64</v>
      </c>
      <c r="AF665" s="288"/>
      <c r="AG665" s="288"/>
      <c r="AH665" s="288"/>
      <c r="AI665" s="288"/>
      <c r="AJ665" s="288"/>
      <c r="AK665" s="288"/>
      <c r="AL665" s="288"/>
      <c r="AM665" s="288"/>
      <c r="AN665" s="288"/>
      <c r="AO665" s="288"/>
      <c r="AP665" s="288"/>
      <c r="AQ665" s="288"/>
      <c r="AR665" s="288"/>
      <c r="AS665" s="288"/>
      <c r="AT665" s="288"/>
      <c r="AU665" s="288"/>
      <c r="AV665" s="288"/>
      <c r="AW665" s="288"/>
      <c r="AX665" s="288"/>
      <c r="AY665" s="288"/>
      <c r="AZ665" s="288"/>
    </row>
    <row r="666" spans="1:52" s="288" customFormat="1" ht="24.95" hidden="1" customHeight="1" x14ac:dyDescent="0.3">
      <c r="A666" s="612" t="s">
        <v>565</v>
      </c>
      <c r="B666" s="671">
        <v>30710</v>
      </c>
      <c r="C666" s="552">
        <v>25000</v>
      </c>
      <c r="D666" s="502" t="s">
        <v>48</v>
      </c>
      <c r="E666" s="502" t="s">
        <v>1516</v>
      </c>
      <c r="F666" s="502" t="s">
        <v>1517</v>
      </c>
      <c r="G666" s="502" t="s">
        <v>36</v>
      </c>
      <c r="H666" s="502" t="s">
        <v>164</v>
      </c>
      <c r="I666" s="502" t="e" vm="8">
        <v>#VALUE!</v>
      </c>
      <c r="J666" s="502" t="s">
        <v>98</v>
      </c>
      <c r="K666" s="502"/>
      <c r="L666" s="490">
        <v>45848</v>
      </c>
      <c r="M666" s="502" t="s">
        <v>135</v>
      </c>
      <c r="N666" s="502" t="s">
        <v>40</v>
      </c>
      <c r="O666" s="491">
        <v>3092</v>
      </c>
      <c r="P666" s="502" t="s">
        <v>41</v>
      </c>
      <c r="Q666" s="519">
        <f t="shared" ref="Q666:Q675" si="25">IF(O666="NA","NA",(O666/C666))</f>
        <v>0.12368</v>
      </c>
      <c r="R666" s="558" t="s">
        <v>42</v>
      </c>
      <c r="S666" s="519" t="s">
        <v>42</v>
      </c>
      <c r="T666" s="490">
        <v>45888</v>
      </c>
      <c r="U666" s="505" t="s">
        <v>43</v>
      </c>
      <c r="V666" s="553" t="s">
        <v>1488</v>
      </c>
      <c r="W666" s="498" t="s">
        <v>67</v>
      </c>
      <c r="X666" s="622">
        <v>273991.59999999998</v>
      </c>
      <c r="Y666" s="498" t="s">
        <v>68</v>
      </c>
      <c r="Z666" s="498" t="s">
        <v>41</v>
      </c>
      <c r="AA666" s="680"/>
      <c r="AB666" s="490"/>
      <c r="AC666" s="490">
        <v>45887</v>
      </c>
      <c r="AD666" s="490"/>
      <c r="AE666" s="7">
        <v>45920</v>
      </c>
    </row>
    <row r="667" spans="1:52" s="288" customFormat="1" ht="24.95" hidden="1" customHeight="1" x14ac:dyDescent="0.3">
      <c r="A667" s="586" t="s">
        <v>251</v>
      </c>
      <c r="B667" s="509">
        <v>29823</v>
      </c>
      <c r="C667" s="510">
        <v>40500</v>
      </c>
      <c r="D667" s="509" t="s">
        <v>249</v>
      </c>
      <c r="E667" s="509" t="s">
        <v>421</v>
      </c>
      <c r="F667" s="509" t="s">
        <v>42</v>
      </c>
      <c r="G667" s="509" t="s">
        <v>42</v>
      </c>
      <c r="H667" s="509" t="s">
        <v>37</v>
      </c>
      <c r="I667" s="509" t="e" vm="9">
        <v>#VALUE!</v>
      </c>
      <c r="J667" s="509" t="s">
        <v>62</v>
      </c>
      <c r="K667" s="509"/>
      <c r="L667" s="511">
        <v>45905</v>
      </c>
      <c r="M667" s="511" t="s">
        <v>42</v>
      </c>
      <c r="N667" s="509" t="s">
        <v>103</v>
      </c>
      <c r="O667" s="512">
        <v>5650</v>
      </c>
      <c r="P667" s="509" t="s">
        <v>80</v>
      </c>
      <c r="Q667" s="512">
        <f t="shared" si="25"/>
        <v>0.13950617283950617</v>
      </c>
      <c r="R667" s="514" t="s">
        <v>42</v>
      </c>
      <c r="S667" s="513" t="s">
        <v>42</v>
      </c>
      <c r="T667" s="511">
        <f>L667+6</f>
        <v>45911</v>
      </c>
      <c r="U667" s="516" t="s">
        <v>66</v>
      </c>
      <c r="V667" s="511" t="s">
        <v>1511</v>
      </c>
      <c r="W667" s="515" t="s">
        <v>67</v>
      </c>
      <c r="X667" s="712">
        <v>135675</v>
      </c>
      <c r="Y667" s="515" t="s">
        <v>215</v>
      </c>
      <c r="Z667" s="693" t="s">
        <v>41</v>
      </c>
      <c r="AA667" s="709"/>
      <c r="AB667" s="490"/>
      <c r="AC667" s="490">
        <v>45909</v>
      </c>
      <c r="AD667" s="490"/>
      <c r="AE667" s="7">
        <v>45924</v>
      </c>
      <c r="AF667" s="680"/>
    </row>
    <row r="668" spans="1:52" s="413" customFormat="1" ht="24.95" hidden="1" customHeight="1" x14ac:dyDescent="0.3">
      <c r="A668" s="508" t="s">
        <v>532</v>
      </c>
      <c r="B668" s="509">
        <v>31399</v>
      </c>
      <c r="C668" s="510">
        <f>13608*2.20462</f>
        <v>30000.468959999998</v>
      </c>
      <c r="D668" s="509" t="s">
        <v>249</v>
      </c>
      <c r="E668" s="509" t="s">
        <v>1518</v>
      </c>
      <c r="F668" s="531"/>
      <c r="G668" s="509"/>
      <c r="H668" s="509" t="s">
        <v>37</v>
      </c>
      <c r="I668" s="731" t="s">
        <v>729</v>
      </c>
      <c r="J668" s="509" t="s">
        <v>62</v>
      </c>
      <c r="K668" s="509"/>
      <c r="L668" s="661"/>
      <c r="M668" s="511"/>
      <c r="N668" s="732" t="s">
        <v>441</v>
      </c>
      <c r="O668" s="512">
        <v>3600</v>
      </c>
      <c r="P668" s="509" t="s">
        <v>80</v>
      </c>
      <c r="Q668" s="513">
        <f t="shared" si="25"/>
        <v>0.11999812418932268</v>
      </c>
      <c r="R668" s="711"/>
      <c r="S668" s="733"/>
      <c r="T668" s="711">
        <v>45910</v>
      </c>
      <c r="U668" s="734" t="s">
        <v>66</v>
      </c>
      <c r="V668" s="511" t="s">
        <v>1511</v>
      </c>
      <c r="W668" s="735" t="s">
        <v>45</v>
      </c>
      <c r="X668" s="712">
        <v>84600</v>
      </c>
      <c r="Y668" s="515" t="s">
        <v>79</v>
      </c>
      <c r="Z668" s="647"/>
      <c r="AA668" s="647"/>
      <c r="AB668" s="715"/>
      <c r="AC668" s="490">
        <v>45909</v>
      </c>
      <c r="AD668" s="490"/>
      <c r="AE668" s="7">
        <v>45910</v>
      </c>
    </row>
    <row r="669" spans="1:52" s="288" customFormat="1" ht="24.95" hidden="1" customHeight="1" x14ac:dyDescent="0.3">
      <c r="A669" s="587" t="s">
        <v>921</v>
      </c>
      <c r="B669" s="674">
        <v>30433</v>
      </c>
      <c r="C669" s="489">
        <v>44400</v>
      </c>
      <c r="D669" s="488" t="s">
        <v>105</v>
      </c>
      <c r="E669" s="488" t="s">
        <v>922</v>
      </c>
      <c r="F669" s="488" t="s">
        <v>1519</v>
      </c>
      <c r="G669" s="488" t="s">
        <v>36</v>
      </c>
      <c r="H669" s="502" t="s">
        <v>51</v>
      </c>
      <c r="I669" s="502" t="e" vm="1">
        <v>#VALUE!</v>
      </c>
      <c r="J669" s="502" t="s">
        <v>420</v>
      </c>
      <c r="K669" s="502"/>
      <c r="L669" s="490">
        <v>45856</v>
      </c>
      <c r="M669" s="491" t="str">
        <f>IF(OR(H669="cif", H669="cfr"), "-", "INSERT NAME HERE")</f>
        <v>-</v>
      </c>
      <c r="N669" s="503" t="s">
        <v>40</v>
      </c>
      <c r="O669" s="491">
        <f>IF(OR(H669="cif", H669="cfr"), 575, "INSERT VALUE HERE")</f>
        <v>575</v>
      </c>
      <c r="P669" s="488" t="str">
        <f>IF(O669=575,"CAD","INSERT CURRENCY")</f>
        <v>CAD</v>
      </c>
      <c r="Q669" s="492">
        <f t="shared" si="25"/>
        <v>1.295045045045045E-2</v>
      </c>
      <c r="R669" s="490" t="s">
        <v>42</v>
      </c>
      <c r="S669" s="490" t="s">
        <v>42</v>
      </c>
      <c r="T669" s="490">
        <v>45904</v>
      </c>
      <c r="U669" s="505" t="s">
        <v>43</v>
      </c>
      <c r="V669" s="490" t="s">
        <v>1505</v>
      </c>
      <c r="W669" s="496" t="s">
        <v>67</v>
      </c>
      <c r="X669" s="622">
        <v>70448</v>
      </c>
      <c r="Y669" s="498" t="s">
        <v>46</v>
      </c>
      <c r="Z669" s="498" t="s">
        <v>41</v>
      </c>
      <c r="AA669" s="518"/>
      <c r="AB669" s="490">
        <v>45912</v>
      </c>
      <c r="AC669" s="490">
        <v>45905</v>
      </c>
      <c r="AD669" s="490"/>
      <c r="AE669" s="7">
        <v>45920</v>
      </c>
    </row>
    <row r="670" spans="1:52" s="413" customFormat="1" ht="24.95" hidden="1" customHeight="1" x14ac:dyDescent="0.3">
      <c r="A670" s="508" t="s">
        <v>259</v>
      </c>
      <c r="B670" s="509">
        <v>28365</v>
      </c>
      <c r="C670" s="510">
        <v>40500</v>
      </c>
      <c r="D670" s="509" t="s">
        <v>249</v>
      </c>
      <c r="E670" s="509" t="s">
        <v>819</v>
      </c>
      <c r="F670" s="509" t="s">
        <v>42</v>
      </c>
      <c r="G670" s="509" t="s">
        <v>42</v>
      </c>
      <c r="H670" s="509" t="s">
        <v>37</v>
      </c>
      <c r="I670" s="509" t="s">
        <v>261</v>
      </c>
      <c r="J670" s="509" t="s">
        <v>53</v>
      </c>
      <c r="K670" s="509"/>
      <c r="L670" s="511">
        <v>45912</v>
      </c>
      <c r="M670" s="511" t="s">
        <v>42</v>
      </c>
      <c r="N670" s="509" t="s">
        <v>45</v>
      </c>
      <c r="O670" s="512">
        <v>0</v>
      </c>
      <c r="P670" s="509" t="s">
        <v>42</v>
      </c>
      <c r="Q670" s="513">
        <f t="shared" si="25"/>
        <v>0</v>
      </c>
      <c r="R670" s="514" t="s">
        <v>42</v>
      </c>
      <c r="S670" s="513" t="s">
        <v>42</v>
      </c>
      <c r="T670" s="511">
        <v>45912</v>
      </c>
      <c r="U670" s="516" t="s">
        <v>66</v>
      </c>
      <c r="V670" s="511" t="s">
        <v>1511</v>
      </c>
      <c r="W670" s="515" t="s">
        <v>45</v>
      </c>
      <c r="X670" s="712">
        <v>56700</v>
      </c>
      <c r="Y670" s="515" t="s">
        <v>215</v>
      </c>
      <c r="Z670" s="693" t="s">
        <v>41</v>
      </c>
      <c r="AA670" s="518"/>
      <c r="AB670" s="518"/>
      <c r="AC670" s="490" t="s">
        <v>42</v>
      </c>
      <c r="AD670" s="490" t="s">
        <v>262</v>
      </c>
      <c r="AE670" s="7" t="s">
        <v>64</v>
      </c>
      <c r="AF670" s="288"/>
      <c r="AG670" s="288"/>
      <c r="AH670" s="288"/>
      <c r="AI670" s="288"/>
      <c r="AJ670" s="288"/>
      <c r="AK670" s="288"/>
      <c r="AL670" s="288"/>
      <c r="AM670" s="288"/>
      <c r="AN670" s="288"/>
      <c r="AO670" s="288"/>
      <c r="AP670" s="288"/>
      <c r="AQ670" s="288"/>
      <c r="AR670" s="288"/>
      <c r="AS670" s="288"/>
      <c r="AT670" s="288"/>
      <c r="AU670" s="288"/>
      <c r="AV670" s="288"/>
      <c r="AW670" s="288"/>
      <c r="AX670" s="288"/>
      <c r="AY670" s="288"/>
    </row>
    <row r="671" spans="1:52" s="288" customFormat="1" ht="24.95" hidden="1" customHeight="1" x14ac:dyDescent="0.3">
      <c r="A671" s="612" t="s">
        <v>1520</v>
      </c>
      <c r="B671" s="671">
        <v>30787</v>
      </c>
      <c r="C671" s="552">
        <v>44000</v>
      </c>
      <c r="D671" s="502" t="s">
        <v>105</v>
      </c>
      <c r="E671" s="502" t="s">
        <v>905</v>
      </c>
      <c r="F671" s="522" t="s">
        <v>1521</v>
      </c>
      <c r="G671" s="488" t="s">
        <v>130</v>
      </c>
      <c r="H671" s="502" t="s">
        <v>51</v>
      </c>
      <c r="I671" s="502" t="e" vm="1">
        <v>#VALUE!</v>
      </c>
      <c r="J671" s="502" t="s">
        <v>53</v>
      </c>
      <c r="K671" s="502"/>
      <c r="L671" s="490">
        <v>45869</v>
      </c>
      <c r="M671" s="491" t="str">
        <f>IF(OR(H671="cif", H671="cfr"), "-", "INSERT NAME HERE")</f>
        <v>-</v>
      </c>
      <c r="N671" s="503" t="s">
        <v>40</v>
      </c>
      <c r="O671" s="491">
        <v>575</v>
      </c>
      <c r="P671" s="488" t="s">
        <v>80</v>
      </c>
      <c r="Q671" s="492">
        <f t="shared" si="25"/>
        <v>1.3068181818181817E-2</v>
      </c>
      <c r="R671" s="548">
        <v>45909</v>
      </c>
      <c r="S671" s="550" t="s">
        <v>1522</v>
      </c>
      <c r="T671" s="548">
        <v>45913</v>
      </c>
      <c r="U671" s="630" t="s">
        <v>76</v>
      </c>
      <c r="V671" s="490" t="s">
        <v>1523</v>
      </c>
      <c r="W671" s="653" t="s">
        <v>67</v>
      </c>
      <c r="X671" s="622">
        <v>50000</v>
      </c>
      <c r="Y671" s="498" t="s">
        <v>46</v>
      </c>
      <c r="Z671" s="498" t="s">
        <v>41</v>
      </c>
      <c r="AA671" s="518"/>
      <c r="AB671" s="490">
        <v>45912</v>
      </c>
      <c r="AC671" s="490">
        <v>45913</v>
      </c>
      <c r="AD671" s="680"/>
      <c r="AE671" s="7">
        <v>45920</v>
      </c>
    </row>
    <row r="672" spans="1:52" s="413" customFormat="1" ht="24.95" hidden="1" customHeight="1" x14ac:dyDescent="0.3">
      <c r="A672" s="508" t="s">
        <v>1524</v>
      </c>
      <c r="B672" s="509">
        <v>31310</v>
      </c>
      <c r="C672" s="510">
        <f>3629*2.20462</f>
        <v>8000.5659799999994</v>
      </c>
      <c r="D672" s="509">
        <v>4</v>
      </c>
      <c r="E672" s="509" t="s">
        <v>926</v>
      </c>
      <c r="F672" s="509" t="s">
        <v>42</v>
      </c>
      <c r="G672" s="509" t="s">
        <v>42</v>
      </c>
      <c r="H672" s="509" t="s">
        <v>37</v>
      </c>
      <c r="I672" s="509" t="e" vm="10">
        <v>#VALUE!</v>
      </c>
      <c r="J672" s="509" t="s">
        <v>62</v>
      </c>
      <c r="K672" s="509"/>
      <c r="L672" s="511">
        <v>45908</v>
      </c>
      <c r="M672" s="511" t="s">
        <v>42</v>
      </c>
      <c r="N672" s="509" t="s">
        <v>103</v>
      </c>
      <c r="O672" s="512">
        <v>1198</v>
      </c>
      <c r="P672" s="509" t="s">
        <v>80</v>
      </c>
      <c r="Q672" s="513">
        <f t="shared" si="25"/>
        <v>0.14973940631135199</v>
      </c>
      <c r="R672" s="514" t="s">
        <v>42</v>
      </c>
      <c r="S672" s="513" t="s">
        <v>42</v>
      </c>
      <c r="T672" s="511">
        <v>45915</v>
      </c>
      <c r="U672" s="516" t="s">
        <v>66</v>
      </c>
      <c r="V672" s="511" t="s">
        <v>1523</v>
      </c>
      <c r="W672" s="515" t="s">
        <v>45</v>
      </c>
      <c r="X672" s="712">
        <v>14080</v>
      </c>
      <c r="Y672" s="515" t="s">
        <v>215</v>
      </c>
      <c r="Z672" s="693" t="s">
        <v>41</v>
      </c>
      <c r="AA672" s="518"/>
      <c r="AB672" s="490"/>
      <c r="AC672" s="490">
        <v>45912</v>
      </c>
      <c r="AD672" s="692" t="s">
        <v>54</v>
      </c>
      <c r="AE672" s="7">
        <v>45925</v>
      </c>
      <c r="AF672" s="288"/>
      <c r="AG672" s="288"/>
      <c r="AH672" s="288"/>
      <c r="AI672" s="288"/>
      <c r="AJ672" s="288"/>
      <c r="AK672" s="288"/>
      <c r="AL672" s="288"/>
      <c r="AM672" s="288"/>
      <c r="AN672" s="288"/>
      <c r="AO672" s="288"/>
      <c r="AP672" s="288"/>
      <c r="AQ672" s="288"/>
      <c r="AR672" s="288"/>
      <c r="AS672" s="288"/>
      <c r="AT672" s="288"/>
      <c r="AU672" s="288"/>
      <c r="AV672" s="288"/>
      <c r="AW672" s="288"/>
      <c r="AX672" s="288"/>
      <c r="AY672" s="288"/>
      <c r="AZ672" s="288"/>
    </row>
    <row r="673" spans="1:52" s="413" customFormat="1" ht="24.95" hidden="1" customHeight="1" x14ac:dyDescent="0.3">
      <c r="A673" s="586" t="s">
        <v>267</v>
      </c>
      <c r="B673" s="509">
        <v>27794</v>
      </c>
      <c r="C673" s="510">
        <v>40000</v>
      </c>
      <c r="D673" s="509" t="s">
        <v>249</v>
      </c>
      <c r="E673" s="509" t="s">
        <v>268</v>
      </c>
      <c r="F673" s="509" t="s">
        <v>42</v>
      </c>
      <c r="G673" s="509" t="s">
        <v>42</v>
      </c>
      <c r="H673" s="509" t="s">
        <v>37</v>
      </c>
      <c r="I673" s="509" t="s">
        <v>269</v>
      </c>
      <c r="J673" s="509" t="s">
        <v>62</v>
      </c>
      <c r="K673" s="509"/>
      <c r="L673" s="511">
        <v>45909</v>
      </c>
      <c r="M673" s="511" t="s">
        <v>42</v>
      </c>
      <c r="N673" s="509" t="s">
        <v>103</v>
      </c>
      <c r="O673" s="512">
        <v>5510</v>
      </c>
      <c r="P673" s="509" t="s">
        <v>80</v>
      </c>
      <c r="Q673" s="513">
        <f t="shared" si="25"/>
        <v>0.13775000000000001</v>
      </c>
      <c r="R673" s="514" t="s">
        <v>42</v>
      </c>
      <c r="S673" s="544" t="s">
        <v>42</v>
      </c>
      <c r="T673" s="511">
        <v>45915</v>
      </c>
      <c r="U673" s="516" t="s">
        <v>66</v>
      </c>
      <c r="V673" s="511" t="s">
        <v>1523</v>
      </c>
      <c r="W673" s="515" t="s">
        <v>67</v>
      </c>
      <c r="X673" s="712">
        <v>160000</v>
      </c>
      <c r="Y673" s="515" t="s">
        <v>215</v>
      </c>
      <c r="Z673" s="693" t="s">
        <v>41</v>
      </c>
      <c r="AA673" s="518"/>
      <c r="AB673" s="518"/>
      <c r="AC673" s="490">
        <v>45913</v>
      </c>
      <c r="AD673" s="286"/>
      <c r="AE673" s="7">
        <v>45925</v>
      </c>
      <c r="AF673" s="288"/>
      <c r="AG673" s="288"/>
      <c r="AH673" s="288"/>
      <c r="AI673" s="288"/>
      <c r="AJ673" s="288"/>
      <c r="AK673" s="288"/>
      <c r="AL673" s="288"/>
      <c r="AM673" s="288"/>
      <c r="AN673" s="288"/>
      <c r="AO673" s="288"/>
      <c r="AP673" s="288"/>
      <c r="AQ673" s="288"/>
      <c r="AR673" s="288"/>
      <c r="AS673" s="288"/>
      <c r="AT673" s="288"/>
      <c r="AU673" s="288"/>
      <c r="AV673" s="288"/>
      <c r="AW673" s="288"/>
      <c r="AX673" s="288"/>
      <c r="AY673" s="288"/>
    </row>
    <row r="674" spans="1:52" ht="23.25" hidden="1" x14ac:dyDescent="0.3">
      <c r="A674" s="587" t="s">
        <v>257</v>
      </c>
      <c r="B674" s="674">
        <v>28449</v>
      </c>
      <c r="C674" s="489">
        <v>44000</v>
      </c>
      <c r="D674" s="488" t="s">
        <v>105</v>
      </c>
      <c r="E674" s="488" t="s">
        <v>258</v>
      </c>
      <c r="F674" s="488" t="s">
        <v>1525</v>
      </c>
      <c r="G674" s="488" t="s">
        <v>36</v>
      </c>
      <c r="H674" s="502" t="s">
        <v>37</v>
      </c>
      <c r="I674" s="502" t="e" vm="8">
        <v>#VALUE!</v>
      </c>
      <c r="J674" s="502" t="s">
        <v>98</v>
      </c>
      <c r="K674" s="502"/>
      <c r="L674" s="490">
        <v>45867</v>
      </c>
      <c r="M674" s="490" t="s">
        <v>99</v>
      </c>
      <c r="N674" s="503" t="s">
        <v>40</v>
      </c>
      <c r="O674" s="491">
        <v>2250</v>
      </c>
      <c r="P674" s="488" t="s">
        <v>41</v>
      </c>
      <c r="Q674" s="492">
        <f t="shared" si="25"/>
        <v>5.113636363636364E-2</v>
      </c>
      <c r="R674" s="490" t="s">
        <v>42</v>
      </c>
      <c r="S674" s="490" t="s">
        <v>42</v>
      </c>
      <c r="T674" s="490">
        <v>45912</v>
      </c>
      <c r="U674" s="505" t="s">
        <v>43</v>
      </c>
      <c r="V674" s="490" t="s">
        <v>1523</v>
      </c>
      <c r="W674" s="496" t="s">
        <v>45</v>
      </c>
      <c r="X674" s="497">
        <v>78000</v>
      </c>
      <c r="Y674" s="498" t="s">
        <v>68</v>
      </c>
      <c r="Z674" s="498" t="s">
        <v>41</v>
      </c>
      <c r="AA674" s="680"/>
      <c r="AB674" s="490"/>
      <c r="AC674" s="490">
        <v>45910</v>
      </c>
      <c r="AD674" s="680"/>
      <c r="AE674" s="7">
        <v>45912</v>
      </c>
      <c r="AF674" s="288"/>
      <c r="AG674" s="288"/>
      <c r="AH674" s="288"/>
      <c r="AI674" s="288"/>
      <c r="AJ674" s="288"/>
      <c r="AK674" s="288"/>
      <c r="AL674" s="288"/>
      <c r="AM674" s="288"/>
      <c r="AN674" s="288"/>
      <c r="AO674" s="288"/>
      <c r="AP674" s="288"/>
      <c r="AQ674" s="288"/>
      <c r="AR674" s="288"/>
      <c r="AS674" s="288"/>
      <c r="AT674" s="288"/>
      <c r="AU674" s="288"/>
      <c r="AV674" s="288"/>
      <c r="AW674" s="288"/>
      <c r="AX674" s="288"/>
      <c r="AY674" s="288"/>
      <c r="AZ674" s="288"/>
    </row>
    <row r="675" spans="1:52" ht="23.25" hidden="1" x14ac:dyDescent="0.3">
      <c r="A675" s="587" t="s">
        <v>131</v>
      </c>
      <c r="B675" s="674">
        <v>30323</v>
      </c>
      <c r="C675" s="489">
        <v>55000</v>
      </c>
      <c r="D675" s="488" t="s">
        <v>33</v>
      </c>
      <c r="E675" s="488" t="s">
        <v>1526</v>
      </c>
      <c r="F675" s="488" t="s">
        <v>1527</v>
      </c>
      <c r="G675" s="488" t="s">
        <v>36</v>
      </c>
      <c r="H675" s="502" t="s">
        <v>37</v>
      </c>
      <c r="I675" s="502" t="e" vm="3">
        <v>#VALUE!</v>
      </c>
      <c r="J675" s="502" t="s">
        <v>1528</v>
      </c>
      <c r="K675" s="502"/>
      <c r="L675" s="490">
        <v>45860</v>
      </c>
      <c r="M675" s="490" t="s">
        <v>39</v>
      </c>
      <c r="N675" s="503" t="s">
        <v>40</v>
      </c>
      <c r="O675" s="491">
        <v>5970</v>
      </c>
      <c r="P675" s="488" t="s">
        <v>41</v>
      </c>
      <c r="Q675" s="550">
        <f t="shared" si="25"/>
        <v>0.10854545454545454</v>
      </c>
      <c r="R675" s="548" t="s">
        <v>42</v>
      </c>
      <c r="S675" s="548" t="s">
        <v>42</v>
      </c>
      <c r="T675" s="490">
        <v>45913</v>
      </c>
      <c r="U675" s="630" t="s">
        <v>43</v>
      </c>
      <c r="V675" s="490" t="s">
        <v>1523</v>
      </c>
      <c r="W675" s="549" t="s">
        <v>45</v>
      </c>
      <c r="X675" s="497">
        <v>154500</v>
      </c>
      <c r="Y675" s="498" t="s">
        <v>68</v>
      </c>
      <c r="Z675" s="498" t="s">
        <v>41</v>
      </c>
      <c r="AA675" s="693"/>
      <c r="AB675" s="490"/>
      <c r="AC675" s="490">
        <v>45916</v>
      </c>
      <c r="AD675" s="680"/>
      <c r="AE675" s="7">
        <v>45924</v>
      </c>
      <c r="AF675" s="288"/>
      <c r="AG675" s="288"/>
      <c r="AH675" s="288"/>
      <c r="AI675" s="288"/>
      <c r="AJ675" s="288"/>
      <c r="AK675" s="288"/>
      <c r="AL675" s="288"/>
      <c r="AM675" s="288"/>
      <c r="AN675" s="288"/>
      <c r="AO675" s="288"/>
      <c r="AP675" s="288"/>
      <c r="AQ675" s="288"/>
      <c r="AR675" s="288"/>
      <c r="AS675" s="288"/>
      <c r="AT675" s="288"/>
      <c r="AU675" s="288"/>
      <c r="AV675" s="288"/>
      <c r="AW675" s="288"/>
      <c r="AX675" s="288"/>
      <c r="AY675" s="288"/>
      <c r="AZ675" s="288"/>
    </row>
    <row r="676" spans="1:52" s="682" customFormat="1" ht="24.95" hidden="1" customHeight="1" x14ac:dyDescent="0.35">
      <c r="A676" s="770" t="s">
        <v>259</v>
      </c>
      <c r="B676" s="509">
        <v>31179</v>
      </c>
      <c r="C676" s="510">
        <f>5400*2.20462</f>
        <v>11904.947999999999</v>
      </c>
      <c r="D676" s="509" t="s">
        <v>264</v>
      </c>
      <c r="E676" s="509" t="s">
        <v>273</v>
      </c>
      <c r="F676" s="509"/>
      <c r="G676" s="509"/>
      <c r="H676" s="509" t="s">
        <v>37</v>
      </c>
      <c r="I676" s="509" t="s">
        <v>261</v>
      </c>
      <c r="J676" s="509" t="s">
        <v>53</v>
      </c>
      <c r="K676" s="509"/>
      <c r="L676" s="511">
        <v>45915</v>
      </c>
      <c r="M676" s="511" t="s">
        <v>42</v>
      </c>
      <c r="N676" s="732" t="s">
        <v>45</v>
      </c>
      <c r="O676" s="512" t="s">
        <v>42</v>
      </c>
      <c r="P676" s="509" t="s">
        <v>42</v>
      </c>
      <c r="Q676" s="513" t="s">
        <v>42</v>
      </c>
      <c r="R676" s="543" t="s">
        <v>42</v>
      </c>
      <c r="S676" s="513" t="s">
        <v>42</v>
      </c>
      <c r="T676" s="711">
        <v>45917</v>
      </c>
      <c r="U676" s="539" t="s">
        <v>66</v>
      </c>
      <c r="V676" s="511" t="s">
        <v>1523</v>
      </c>
      <c r="W676" s="515" t="s">
        <v>45</v>
      </c>
      <c r="X676" s="712">
        <v>24586.25</v>
      </c>
      <c r="Y676" s="515" t="s">
        <v>79</v>
      </c>
      <c r="Z676" s="693" t="s">
        <v>41</v>
      </c>
      <c r="AA676" s="693"/>
      <c r="AB676" s="693"/>
      <c r="AC676" s="490" t="s">
        <v>42</v>
      </c>
      <c r="AD676" s="501"/>
      <c r="AE676" s="286" t="s">
        <v>64</v>
      </c>
      <c r="AF676" s="681"/>
      <c r="AG676" s="681"/>
      <c r="AH676" s="681"/>
      <c r="AI676" s="681"/>
      <c r="AJ676" s="681"/>
      <c r="AK676" s="681"/>
      <c r="AL676" s="681"/>
      <c r="AM676" s="681"/>
      <c r="AN676" s="681"/>
      <c r="AO676" s="681"/>
      <c r="AP676" s="681"/>
      <c r="AQ676" s="681"/>
      <c r="AR676" s="681"/>
      <c r="AS676" s="681"/>
      <c r="AT676" s="681"/>
      <c r="AU676" s="681"/>
      <c r="AV676" s="681"/>
      <c r="AW676" s="681"/>
      <c r="AX676" s="681"/>
      <c r="AY676" s="681"/>
    </row>
    <row r="677" spans="1:52" s="413" customFormat="1" ht="24.95" hidden="1" customHeight="1" x14ac:dyDescent="0.35">
      <c r="A677" s="587" t="s">
        <v>47</v>
      </c>
      <c r="B677" s="787">
        <v>30184</v>
      </c>
      <c r="C677" s="489">
        <v>55000</v>
      </c>
      <c r="D677" s="488" t="s">
        <v>48</v>
      </c>
      <c r="E677" s="488" t="s">
        <v>49</v>
      </c>
      <c r="F677" s="488" t="s">
        <v>1529</v>
      </c>
      <c r="G677" s="488" t="s">
        <v>36</v>
      </c>
      <c r="H677" s="488" t="s">
        <v>51</v>
      </c>
      <c r="I677" s="488" t="e" vm="1">
        <v>#VALUE!</v>
      </c>
      <c r="J677" s="488" t="s">
        <v>53</v>
      </c>
      <c r="K677" s="488"/>
      <c r="L677" s="490" t="s">
        <v>1530</v>
      </c>
      <c r="M677" s="490" t="s">
        <v>42</v>
      </c>
      <c r="N677" s="503" t="s">
        <v>40</v>
      </c>
      <c r="O677" s="491">
        <f>IF(OR(H677="cif", H677="cfr"), 575, "INSERT VALUE HERE")</f>
        <v>575</v>
      </c>
      <c r="P677" s="488" t="str">
        <f>IF(O677=575,"CAD","INSERT CURRENCY")</f>
        <v>CAD</v>
      </c>
      <c r="Q677" s="519">
        <f t="shared" ref="Q677:Q690" si="26">IF(O677="NA","NA",(O677/C677))</f>
        <v>1.0454545454545454E-2</v>
      </c>
      <c r="R677" s="796" t="s">
        <v>42</v>
      </c>
      <c r="S677" s="736" t="s">
        <v>42</v>
      </c>
      <c r="T677" s="548">
        <v>45932</v>
      </c>
      <c r="U677" s="527" t="s">
        <v>43</v>
      </c>
      <c r="V677" s="490" t="s">
        <v>1531</v>
      </c>
      <c r="W677" s="496" t="s">
        <v>45</v>
      </c>
      <c r="X677" s="622">
        <v>29879</v>
      </c>
      <c r="Y677" s="498" t="s">
        <v>46</v>
      </c>
      <c r="Z677" s="693" t="s">
        <v>41</v>
      </c>
      <c r="AA677" s="518"/>
      <c r="AB677" s="490">
        <v>45930</v>
      </c>
      <c r="AC677" s="490">
        <v>45930</v>
      </c>
      <c r="AD677" s="501"/>
      <c r="AE677" s="490">
        <v>45944</v>
      </c>
      <c r="AF677" s="288"/>
      <c r="AG677" s="288"/>
      <c r="AH677" s="288"/>
      <c r="AI677" s="288"/>
      <c r="AJ677" s="288"/>
      <c r="AK677" s="288"/>
      <c r="AL677" s="288"/>
      <c r="AM677" s="288"/>
      <c r="AN677" s="288"/>
      <c r="AO677" s="288"/>
      <c r="AP677" s="288"/>
      <c r="AQ677" s="288"/>
      <c r="AR677" s="288"/>
      <c r="AS677" s="288"/>
      <c r="AT677" s="288"/>
      <c r="AU677" s="288"/>
      <c r="AV677" s="288"/>
      <c r="AW677" s="288"/>
      <c r="AX677" s="288"/>
      <c r="AY677" s="288"/>
    </row>
    <row r="678" spans="1:52" s="413" customFormat="1" ht="24.95" customHeight="1" x14ac:dyDescent="0.3">
      <c r="A678" s="487" t="s">
        <v>175</v>
      </c>
      <c r="B678" s="787">
        <v>31257</v>
      </c>
      <c r="C678" s="489">
        <v>45200</v>
      </c>
      <c r="D678" s="488" t="s">
        <v>105</v>
      </c>
      <c r="E678" s="488" t="s">
        <v>176</v>
      </c>
      <c r="F678" s="488" t="s">
        <v>1532</v>
      </c>
      <c r="G678" s="488" t="s">
        <v>345</v>
      </c>
      <c r="H678" s="488" t="s">
        <v>37</v>
      </c>
      <c r="I678" s="684" t="e" vm="5">
        <v>#VALUE!</v>
      </c>
      <c r="J678" s="488" t="s">
        <v>75</v>
      </c>
      <c r="K678" s="488"/>
      <c r="L678" s="490">
        <v>45901</v>
      </c>
      <c r="M678" s="490" t="s">
        <v>135</v>
      </c>
      <c r="N678" s="503" t="s">
        <v>40</v>
      </c>
      <c r="O678" s="491">
        <v>2360</v>
      </c>
      <c r="P678" s="488" t="s">
        <v>41</v>
      </c>
      <c r="Q678" s="504">
        <f t="shared" si="26"/>
        <v>5.2212389380530973E-2</v>
      </c>
      <c r="R678" s="490">
        <v>45918</v>
      </c>
      <c r="S678" s="550" t="s">
        <v>65</v>
      </c>
      <c r="T678" s="490">
        <v>45931</v>
      </c>
      <c r="U678" s="630" t="s">
        <v>76</v>
      </c>
      <c r="V678" s="490" t="s">
        <v>1531</v>
      </c>
      <c r="W678" s="496" t="s">
        <v>67</v>
      </c>
      <c r="X678" s="622">
        <f>39975+O678</f>
        <v>42335</v>
      </c>
      <c r="Y678" s="498" t="s">
        <v>46</v>
      </c>
      <c r="Z678" s="498" t="s">
        <v>41</v>
      </c>
      <c r="AA678" s="518"/>
      <c r="AB678" s="490">
        <v>45930</v>
      </c>
      <c r="AC678" s="490">
        <v>45932</v>
      </c>
      <c r="AD678" s="286" t="s">
        <v>1533</v>
      </c>
      <c r="AE678" s="490" t="s">
        <v>64</v>
      </c>
      <c r="AF678" s="288"/>
      <c r="AG678" s="288"/>
      <c r="AH678" s="288"/>
      <c r="AI678" s="288"/>
      <c r="AJ678" s="288"/>
      <c r="AK678" s="288"/>
      <c r="AL678" s="288"/>
      <c r="AM678" s="288"/>
      <c r="AN678" s="288"/>
      <c r="AO678" s="288"/>
      <c r="AP678" s="288"/>
      <c r="AQ678" s="288"/>
      <c r="AR678" s="288"/>
      <c r="AS678" s="288"/>
      <c r="AT678" s="288"/>
      <c r="AU678" s="288"/>
      <c r="AV678" s="288"/>
      <c r="AW678" s="288"/>
      <c r="AX678" s="288"/>
      <c r="AY678" s="288"/>
      <c r="AZ678" s="288"/>
    </row>
    <row r="679" spans="1:52" s="681" customFormat="1" ht="24.95" hidden="1" customHeight="1" x14ac:dyDescent="0.35">
      <c r="A679" s="797" t="s">
        <v>47</v>
      </c>
      <c r="B679" s="787">
        <v>30183</v>
      </c>
      <c r="C679" s="489">
        <v>55000</v>
      </c>
      <c r="D679" s="488" t="s">
        <v>48</v>
      </c>
      <c r="E679" s="488" t="s">
        <v>49</v>
      </c>
      <c r="F679" s="488" t="s">
        <v>1534</v>
      </c>
      <c r="G679" s="488" t="s">
        <v>36</v>
      </c>
      <c r="H679" s="488" t="s">
        <v>51</v>
      </c>
      <c r="I679" s="488" t="e" vm="1">
        <v>#VALUE!</v>
      </c>
      <c r="J679" s="488" t="s">
        <v>53</v>
      </c>
      <c r="K679" s="488"/>
      <c r="L679" s="490" t="s">
        <v>1530</v>
      </c>
      <c r="M679" s="490" t="s">
        <v>42</v>
      </c>
      <c r="N679" s="503" t="s">
        <v>40</v>
      </c>
      <c r="O679" s="491">
        <f>IF(OR(H679="cif", H679="cfr"), 575, "INSERT VALUE HERE")</f>
        <v>575</v>
      </c>
      <c r="P679" s="488" t="str">
        <f>IF(O679=575,"CAD","INSERT CURRENCY")</f>
        <v>CAD</v>
      </c>
      <c r="Q679" s="519">
        <f t="shared" si="26"/>
        <v>1.0454545454545454E-2</v>
      </c>
      <c r="R679" s="796" t="s">
        <v>42</v>
      </c>
      <c r="S679" s="494" t="s">
        <v>42</v>
      </c>
      <c r="T679" s="490">
        <v>45932</v>
      </c>
      <c r="U679" s="495" t="s">
        <v>43</v>
      </c>
      <c r="V679" s="490" t="s">
        <v>1531</v>
      </c>
      <c r="W679" s="496" t="s">
        <v>67</v>
      </c>
      <c r="X679" s="622">
        <v>29879</v>
      </c>
      <c r="Y679" s="498" t="s">
        <v>46</v>
      </c>
      <c r="Z679" s="693" t="s">
        <v>41</v>
      </c>
      <c r="AA679" s="518"/>
      <c r="AB679" s="490">
        <v>45930</v>
      </c>
      <c r="AC679" s="490">
        <v>45930</v>
      </c>
      <c r="AD679" s="800"/>
      <c r="AE679" s="490">
        <v>45944</v>
      </c>
      <c r="AZ679" s="682"/>
    </row>
    <row r="680" spans="1:52" s="288" customFormat="1" ht="24.95" hidden="1" customHeight="1" x14ac:dyDescent="0.3">
      <c r="A680" s="586" t="s">
        <v>251</v>
      </c>
      <c r="B680" s="787">
        <v>31754</v>
      </c>
      <c r="C680" s="510">
        <f>18371*2.20462</f>
        <v>40501.074019999993</v>
      </c>
      <c r="D680" s="509" t="s">
        <v>249</v>
      </c>
      <c r="E680" s="509" t="s">
        <v>421</v>
      </c>
      <c r="F680" s="509" t="s">
        <v>42</v>
      </c>
      <c r="G680" s="509" t="s">
        <v>42</v>
      </c>
      <c r="H680" s="509" t="s">
        <v>37</v>
      </c>
      <c r="I680" s="509" t="e" vm="9">
        <v>#VALUE!</v>
      </c>
      <c r="J680" s="509" t="s">
        <v>62</v>
      </c>
      <c r="K680" s="509"/>
      <c r="L680" s="511">
        <v>45926</v>
      </c>
      <c r="M680" s="511" t="s">
        <v>42</v>
      </c>
      <c r="N680" s="732" t="s">
        <v>357</v>
      </c>
      <c r="O680" s="512">
        <v>5495</v>
      </c>
      <c r="P680" s="509" t="s">
        <v>80</v>
      </c>
      <c r="Q680" s="513">
        <f t="shared" si="26"/>
        <v>0.13567541436769043</v>
      </c>
      <c r="R680" s="543" t="s">
        <v>42</v>
      </c>
      <c r="S680" s="544" t="s">
        <v>42</v>
      </c>
      <c r="T680" s="511">
        <f>L680+5</f>
        <v>45931</v>
      </c>
      <c r="U680" s="539" t="s">
        <v>66</v>
      </c>
      <c r="V680" s="511" t="s">
        <v>1531</v>
      </c>
      <c r="W680" s="515" t="s">
        <v>45</v>
      </c>
      <c r="X680" s="712">
        <v>121500</v>
      </c>
      <c r="Y680" s="515" t="s">
        <v>215</v>
      </c>
      <c r="Z680" s="515" t="s">
        <v>41</v>
      </c>
      <c r="AA680" s="518"/>
      <c r="AB680" s="693" t="s">
        <v>42</v>
      </c>
      <c r="AC680" s="490">
        <v>45930</v>
      </c>
      <c r="AD680" s="490"/>
      <c r="AE680" s="490">
        <v>45932</v>
      </c>
      <c r="AF680" s="695"/>
    </row>
    <row r="681" spans="1:52" s="288" customFormat="1" ht="24.95" customHeight="1" x14ac:dyDescent="0.3">
      <c r="A681" s="586" t="s">
        <v>1535</v>
      </c>
      <c r="B681" s="801">
        <v>31470</v>
      </c>
      <c r="C681" s="510">
        <f>18144*2.20462</f>
        <v>40000.625279999993</v>
      </c>
      <c r="D681" s="531" t="s">
        <v>249</v>
      </c>
      <c r="E681" s="531" t="s">
        <v>1536</v>
      </c>
      <c r="F681" s="531" t="s">
        <v>42</v>
      </c>
      <c r="G681" s="531" t="s">
        <v>42</v>
      </c>
      <c r="H681" s="531" t="s">
        <v>37</v>
      </c>
      <c r="I681" s="531" t="s">
        <v>931</v>
      </c>
      <c r="J681" s="531" t="s">
        <v>62</v>
      </c>
      <c r="K681" s="531"/>
      <c r="L681" s="511">
        <v>45926</v>
      </c>
      <c r="M681" s="511" t="s">
        <v>42</v>
      </c>
      <c r="N681" s="732" t="s">
        <v>441</v>
      </c>
      <c r="O681" s="650">
        <v>5395</v>
      </c>
      <c r="P681" s="509" t="s">
        <v>80</v>
      </c>
      <c r="Q681" s="513">
        <f t="shared" si="26"/>
        <v>0.13487289166695748</v>
      </c>
      <c r="R681" s="514" t="s">
        <v>42</v>
      </c>
      <c r="S681" s="513" t="s">
        <v>42</v>
      </c>
      <c r="T681" s="511">
        <f>L681+7</f>
        <v>45933</v>
      </c>
      <c r="U681" s="516" t="s">
        <v>66</v>
      </c>
      <c r="V681" s="511" t="s">
        <v>1531</v>
      </c>
      <c r="W681" s="515" t="s">
        <v>45</v>
      </c>
      <c r="X681" s="737">
        <v>124370</v>
      </c>
      <c r="Y681" s="652" t="s">
        <v>215</v>
      </c>
      <c r="Z681" s="515" t="s">
        <v>41</v>
      </c>
      <c r="AA681" s="518"/>
      <c r="AB681" s="798"/>
      <c r="AC681" s="490">
        <v>45932</v>
      </c>
      <c r="AD681" s="792"/>
      <c r="AE681" s="490">
        <v>45933</v>
      </c>
      <c r="AF681" s="695"/>
    </row>
    <row r="682" spans="1:52" s="288" customFormat="1" ht="24.95" customHeight="1" x14ac:dyDescent="0.3">
      <c r="A682" s="587" t="s">
        <v>289</v>
      </c>
      <c r="B682" s="787">
        <v>29562</v>
      </c>
      <c r="C682" s="489">
        <v>40000</v>
      </c>
      <c r="D682" s="488" t="s">
        <v>105</v>
      </c>
      <c r="E682" s="488" t="s">
        <v>290</v>
      </c>
      <c r="F682" s="488" t="s">
        <v>1537</v>
      </c>
      <c r="G682" s="488" t="s">
        <v>108</v>
      </c>
      <c r="H682" s="502" t="s">
        <v>164</v>
      </c>
      <c r="I682" s="502" t="e" vm="11">
        <v>#VALUE!</v>
      </c>
      <c r="J682" s="502" t="s">
        <v>292</v>
      </c>
      <c r="K682" s="502"/>
      <c r="L682" s="490">
        <v>45901</v>
      </c>
      <c r="M682" s="490" t="s">
        <v>243</v>
      </c>
      <c r="N682" s="503" t="s">
        <v>40</v>
      </c>
      <c r="O682" s="491">
        <v>3457.05</v>
      </c>
      <c r="P682" s="488" t="s">
        <v>41</v>
      </c>
      <c r="Q682" s="519">
        <f t="shared" si="26"/>
        <v>8.642625000000001E-2</v>
      </c>
      <c r="R682" s="548">
        <v>45921</v>
      </c>
      <c r="S682" s="550" t="s">
        <v>1538</v>
      </c>
      <c r="T682" s="490">
        <v>45931</v>
      </c>
      <c r="U682" s="630" t="s">
        <v>1539</v>
      </c>
      <c r="V682" s="490" t="s">
        <v>1531</v>
      </c>
      <c r="W682" s="498" t="s">
        <v>67</v>
      </c>
      <c r="X682" s="786">
        <v>40640</v>
      </c>
      <c r="Y682" s="498" t="s">
        <v>46</v>
      </c>
      <c r="Z682" s="693" t="s">
        <v>41</v>
      </c>
      <c r="AA682" s="518"/>
      <c r="AB682" s="490">
        <v>45924</v>
      </c>
      <c r="AC682" s="490">
        <v>45936</v>
      </c>
      <c r="AD682" s="799"/>
      <c r="AE682" s="490">
        <v>45939</v>
      </c>
    </row>
    <row r="683" spans="1:52" s="681" customFormat="1" ht="24.95" customHeight="1" x14ac:dyDescent="0.3">
      <c r="A683" s="790" t="s">
        <v>251</v>
      </c>
      <c r="B683" s="509">
        <v>31660</v>
      </c>
      <c r="C683" s="510">
        <v>40500</v>
      </c>
      <c r="D683" s="509" t="s">
        <v>249</v>
      </c>
      <c r="E683" s="509" t="s">
        <v>1540</v>
      </c>
      <c r="F683" s="509" t="s">
        <v>42</v>
      </c>
      <c r="G683" s="509" t="s">
        <v>42</v>
      </c>
      <c r="H683" s="509" t="s">
        <v>37</v>
      </c>
      <c r="I683" s="509" t="e" vm="9">
        <v>#VALUE!</v>
      </c>
      <c r="J683" s="509" t="s">
        <v>62</v>
      </c>
      <c r="K683" s="509"/>
      <c r="L683" s="511">
        <v>45930</v>
      </c>
      <c r="M683" s="812" t="s">
        <v>42</v>
      </c>
      <c r="N683" s="732" t="s">
        <v>357</v>
      </c>
      <c r="O683" s="512">
        <v>5300</v>
      </c>
      <c r="P683" s="509" t="s">
        <v>80</v>
      </c>
      <c r="Q683" s="513">
        <f t="shared" si="26"/>
        <v>0.1308641975308642</v>
      </c>
      <c r="R683" s="543" t="s">
        <v>42</v>
      </c>
      <c r="S683" s="513" t="s">
        <v>42</v>
      </c>
      <c r="T683" s="711">
        <f>L683+6</f>
        <v>45936</v>
      </c>
      <c r="U683" s="539" t="s">
        <v>66</v>
      </c>
      <c r="V683" s="511" t="s">
        <v>1541</v>
      </c>
      <c r="W683" s="515" t="s">
        <v>45</v>
      </c>
      <c r="X683" s="712">
        <v>129600</v>
      </c>
      <c r="Y683" s="515" t="s">
        <v>215</v>
      </c>
      <c r="Z683" s="515" t="s">
        <v>41</v>
      </c>
      <c r="AA683" s="518"/>
      <c r="AB683" s="680"/>
      <c r="AC683" s="490">
        <v>45933</v>
      </c>
      <c r="AD683" s="792"/>
      <c r="AE683" s="490">
        <v>45950</v>
      </c>
      <c r="AF683" s="794"/>
    </row>
    <row r="684" spans="1:52" s="686" customFormat="1" ht="23.25" customHeight="1" x14ac:dyDescent="0.35">
      <c r="A684" s="791" t="s">
        <v>1520</v>
      </c>
      <c r="B684" s="788">
        <v>30784</v>
      </c>
      <c r="C684" s="552">
        <v>44000</v>
      </c>
      <c r="D684" s="502" t="s">
        <v>105</v>
      </c>
      <c r="E684" s="502" t="s">
        <v>905</v>
      </c>
      <c r="F684" s="488" t="s">
        <v>1542</v>
      </c>
      <c r="G684" s="488" t="s">
        <v>130</v>
      </c>
      <c r="H684" s="502" t="s">
        <v>51</v>
      </c>
      <c r="I684" s="502" t="e" vm="1">
        <v>#VALUE!</v>
      </c>
      <c r="J684" s="502" t="s">
        <v>53</v>
      </c>
      <c r="K684" s="502"/>
      <c r="L684" s="490">
        <v>45869</v>
      </c>
      <c r="M684" s="809" t="str">
        <f>IF(OR(H684="cif", H684="cfr"), "-", "INSERT NAME HERE")</f>
        <v>-</v>
      </c>
      <c r="N684" s="503" t="s">
        <v>40</v>
      </c>
      <c r="O684" s="666">
        <v>575</v>
      </c>
      <c r="P684" s="488" t="s">
        <v>80</v>
      </c>
      <c r="Q684" s="492">
        <f t="shared" si="26"/>
        <v>1.3068181818181817E-2</v>
      </c>
      <c r="R684" s="490">
        <v>45925</v>
      </c>
      <c r="S684" s="550" t="s">
        <v>1522</v>
      </c>
      <c r="T684" s="490">
        <v>45931</v>
      </c>
      <c r="U684" s="505" t="s">
        <v>76</v>
      </c>
      <c r="V684" s="490" t="s">
        <v>1531</v>
      </c>
      <c r="W684" s="496" t="s">
        <v>67</v>
      </c>
      <c r="X684" s="786">
        <v>57000</v>
      </c>
      <c r="Y684" s="498" t="s">
        <v>68</v>
      </c>
      <c r="Z684" s="498" t="s">
        <v>41</v>
      </c>
      <c r="AA684" s="680"/>
      <c r="AB684" s="490"/>
      <c r="AC684" s="490">
        <v>45931</v>
      </c>
      <c r="AD684" s="680" t="s">
        <v>1543</v>
      </c>
      <c r="AE684" s="490">
        <v>45944</v>
      </c>
      <c r="AF684" s="685"/>
      <c r="AG684" s="685"/>
      <c r="AH684" s="685"/>
      <c r="AI684" s="685"/>
      <c r="AJ684" s="685"/>
      <c r="AK684" s="685"/>
      <c r="AL684" s="685"/>
      <c r="AM684" s="685"/>
      <c r="AN684" s="685"/>
      <c r="AO684" s="685"/>
      <c r="AP684" s="685"/>
      <c r="AQ684" s="685"/>
      <c r="AR684" s="685"/>
      <c r="AS684" s="685"/>
      <c r="AT684" s="685"/>
      <c r="AU684" s="685"/>
      <c r="AV684" s="685"/>
      <c r="AW684" s="685"/>
      <c r="AX684" s="685"/>
      <c r="AY684" s="685"/>
      <c r="AZ684" s="685"/>
    </row>
    <row r="685" spans="1:52" s="413" customFormat="1" ht="24.95" customHeight="1" x14ac:dyDescent="0.3">
      <c r="A685" s="587" t="s">
        <v>409</v>
      </c>
      <c r="B685" s="788">
        <v>30725</v>
      </c>
      <c r="C685" s="552">
        <v>55000</v>
      </c>
      <c r="D685" s="488" t="s">
        <v>48</v>
      </c>
      <c r="E685" s="488" t="s">
        <v>952</v>
      </c>
      <c r="F685" s="488" t="s">
        <v>1544</v>
      </c>
      <c r="G685" s="488" t="s">
        <v>36</v>
      </c>
      <c r="H685" s="502" t="s">
        <v>164</v>
      </c>
      <c r="I685" s="502" t="e" vm="12">
        <v>#VALUE!</v>
      </c>
      <c r="J685" s="502" t="s">
        <v>1545</v>
      </c>
      <c r="K685" s="502"/>
      <c r="L685" s="490">
        <v>45870</v>
      </c>
      <c r="M685" s="811" t="s">
        <v>39</v>
      </c>
      <c r="N685" s="503" t="s">
        <v>40</v>
      </c>
      <c r="O685" s="491">
        <v>4950</v>
      </c>
      <c r="P685" s="488" t="s">
        <v>41</v>
      </c>
      <c r="Q685" s="492">
        <f t="shared" si="26"/>
        <v>0.09</v>
      </c>
      <c r="R685" s="490">
        <v>45918</v>
      </c>
      <c r="S685" s="550" t="s">
        <v>65</v>
      </c>
      <c r="T685" s="490">
        <v>45931</v>
      </c>
      <c r="U685" s="630" t="s">
        <v>76</v>
      </c>
      <c r="V685" s="490" t="s">
        <v>1531</v>
      </c>
      <c r="W685" s="496" t="s">
        <v>67</v>
      </c>
      <c r="X685" s="786">
        <v>102600</v>
      </c>
      <c r="Y685" s="498" t="s">
        <v>68</v>
      </c>
      <c r="Z685" s="498" t="s">
        <v>41</v>
      </c>
      <c r="AA685" s="500"/>
      <c r="AB685" s="490"/>
      <c r="AC685" s="490">
        <v>45932</v>
      </c>
      <c r="AD685" s="286"/>
      <c r="AE685" s="490">
        <v>45931</v>
      </c>
      <c r="AF685" s="288"/>
      <c r="AG685" s="288"/>
      <c r="AH685" s="288"/>
      <c r="AI685" s="288"/>
      <c r="AJ685" s="288"/>
      <c r="AK685" s="288"/>
      <c r="AL685" s="288"/>
      <c r="AM685" s="288"/>
      <c r="AN685" s="288"/>
      <c r="AO685" s="288"/>
      <c r="AP685" s="288"/>
      <c r="AQ685" s="288"/>
      <c r="AR685" s="288"/>
      <c r="AS685" s="288"/>
      <c r="AT685" s="288"/>
      <c r="AU685" s="288"/>
      <c r="AV685" s="288"/>
      <c r="AW685" s="283"/>
      <c r="AX685" s="283"/>
      <c r="AY685" s="283"/>
      <c r="AZ685" s="283"/>
    </row>
    <row r="686" spans="1:52" s="685" customFormat="1" ht="24.95" customHeight="1" x14ac:dyDescent="0.3">
      <c r="A686" s="612" t="s">
        <v>1546</v>
      </c>
      <c r="B686" s="788">
        <v>30772</v>
      </c>
      <c r="C686" s="552">
        <v>55000</v>
      </c>
      <c r="D686" s="502" t="s">
        <v>48</v>
      </c>
      <c r="E686" s="502" t="s">
        <v>1547</v>
      </c>
      <c r="F686" s="488" t="s">
        <v>1548</v>
      </c>
      <c r="G686" s="488" t="s">
        <v>36</v>
      </c>
      <c r="H686" s="502" t="s">
        <v>164</v>
      </c>
      <c r="I686" s="502" t="e" vm="2">
        <v>#VALUE!</v>
      </c>
      <c r="J686" s="502" t="s">
        <v>120</v>
      </c>
      <c r="K686" s="502"/>
      <c r="L686" s="490">
        <v>45873</v>
      </c>
      <c r="M686" s="811" t="s">
        <v>39</v>
      </c>
      <c r="N686" s="503" t="s">
        <v>40</v>
      </c>
      <c r="O686" s="491">
        <v>4350</v>
      </c>
      <c r="P686" s="488" t="s">
        <v>41</v>
      </c>
      <c r="Q686" s="492">
        <f t="shared" si="26"/>
        <v>7.9090909090909087E-2</v>
      </c>
      <c r="R686" s="490">
        <v>45918</v>
      </c>
      <c r="S686" s="492" t="s">
        <v>65</v>
      </c>
      <c r="T686" s="490">
        <v>45931</v>
      </c>
      <c r="U686" s="505" t="s">
        <v>76</v>
      </c>
      <c r="V686" s="490" t="s">
        <v>1531</v>
      </c>
      <c r="W686" s="496" t="s">
        <v>67</v>
      </c>
      <c r="X686" s="786">
        <v>74250</v>
      </c>
      <c r="Y686" s="498" t="s">
        <v>46</v>
      </c>
      <c r="Z686" s="498" t="s">
        <v>41</v>
      </c>
      <c r="AA686" s="518"/>
      <c r="AB686" s="490"/>
      <c r="AC686" s="490">
        <v>45932</v>
      </c>
      <c r="AD686" s="680"/>
      <c r="AE686" s="490">
        <v>45931</v>
      </c>
    </row>
    <row r="687" spans="1:52" ht="23.25" x14ac:dyDescent="0.3">
      <c r="A687" s="612" t="s">
        <v>1520</v>
      </c>
      <c r="B687" s="787">
        <v>30786</v>
      </c>
      <c r="C687" s="552">
        <f>20000*2.2046</f>
        <v>44092</v>
      </c>
      <c r="D687" s="502" t="s">
        <v>105</v>
      </c>
      <c r="E687" s="502" t="s">
        <v>905</v>
      </c>
      <c r="F687" s="502" t="s">
        <v>1549</v>
      </c>
      <c r="G687" s="502" t="s">
        <v>130</v>
      </c>
      <c r="H687" s="502" t="s">
        <v>51</v>
      </c>
      <c r="I687" s="502" t="e" vm="13">
        <v>#VALUE!</v>
      </c>
      <c r="J687" s="502" t="s">
        <v>466</v>
      </c>
      <c r="K687" s="502"/>
      <c r="L687" s="490">
        <v>45873</v>
      </c>
      <c r="M687" s="810" t="str">
        <f>IF(OR(H687="cif", H687="cfr"), "-", "INSERT NAME HERE")</f>
        <v>-</v>
      </c>
      <c r="N687" s="502" t="s">
        <v>40</v>
      </c>
      <c r="O687" s="795">
        <f>IF(OR(H687="cif", H687="cfr"), 575, "INSERT VALUE HERE")</f>
        <v>575</v>
      </c>
      <c r="P687" s="488" t="str">
        <f>IF(O687=575,"CAD","INSERT CURRENCY")</f>
        <v>CAD</v>
      </c>
      <c r="Q687" s="504">
        <f t="shared" si="26"/>
        <v>1.3040914451601198E-2</v>
      </c>
      <c r="R687" s="490">
        <v>45925</v>
      </c>
      <c r="S687" s="492" t="s">
        <v>1522</v>
      </c>
      <c r="T687" s="490">
        <v>45931</v>
      </c>
      <c r="U687" s="683" t="s">
        <v>76</v>
      </c>
      <c r="V687" s="490" t="s">
        <v>1531</v>
      </c>
      <c r="W687" s="496" t="s">
        <v>67</v>
      </c>
      <c r="X687" s="786">
        <v>57000</v>
      </c>
      <c r="Y687" s="535" t="s">
        <v>68</v>
      </c>
      <c r="Z687" s="693" t="s">
        <v>41</v>
      </c>
      <c r="AA687" s="680"/>
      <c r="AB687" s="490"/>
      <c r="AC687" s="490">
        <v>45931</v>
      </c>
      <c r="AD687" s="680" t="s">
        <v>1543</v>
      </c>
      <c r="AE687" s="286">
        <v>45944</v>
      </c>
      <c r="AF687" s="288"/>
      <c r="AG687" s="288"/>
      <c r="AH687" s="288"/>
      <c r="AI687" s="288"/>
      <c r="AJ687" s="288"/>
      <c r="AK687" s="288"/>
      <c r="AL687" s="288"/>
      <c r="AM687" s="288"/>
      <c r="AN687" s="288"/>
      <c r="AO687" s="288"/>
      <c r="AP687" s="288"/>
      <c r="AQ687" s="288"/>
      <c r="AR687" s="288"/>
      <c r="AS687" s="288"/>
      <c r="AT687" s="288"/>
      <c r="AU687" s="288"/>
      <c r="AV687" s="288"/>
      <c r="AW687" s="288"/>
      <c r="AX687" s="288"/>
      <c r="AY687" s="288"/>
      <c r="AZ687" s="288"/>
    </row>
    <row r="688" spans="1:52" ht="23.25" x14ac:dyDescent="0.35">
      <c r="A688" s="587" t="s">
        <v>463</v>
      </c>
      <c r="B688" s="787">
        <v>31345</v>
      </c>
      <c r="C688" s="489">
        <f>22680*2.20462</f>
        <v>50000.781599999995</v>
      </c>
      <c r="D688" s="488">
        <v>40</v>
      </c>
      <c r="E688" s="488" t="s">
        <v>1223</v>
      </c>
      <c r="F688" s="488" t="s">
        <v>1550</v>
      </c>
      <c r="G688" s="488" t="s">
        <v>119</v>
      </c>
      <c r="H688" s="488" t="s">
        <v>109</v>
      </c>
      <c r="I688" s="684" t="s">
        <v>52</v>
      </c>
      <c r="J688" s="488" t="s">
        <v>1551</v>
      </c>
      <c r="K688" s="488"/>
      <c r="L688" s="490">
        <v>45921</v>
      </c>
      <c r="M688" s="809" t="str">
        <f>IF(OR(H688="cif", H688="cfr"), "-", "INSERT NAME HERE")</f>
        <v>-</v>
      </c>
      <c r="N688" s="503" t="s">
        <v>40</v>
      </c>
      <c r="O688" s="666">
        <v>575</v>
      </c>
      <c r="P688" s="523" t="s">
        <v>80</v>
      </c>
      <c r="Q688" s="504">
        <f t="shared" si="26"/>
        <v>1.1499820234810091E-2</v>
      </c>
      <c r="R688" s="548" t="s">
        <v>42</v>
      </c>
      <c r="S688" s="492" t="s">
        <v>42</v>
      </c>
      <c r="T688" s="548">
        <v>45935</v>
      </c>
      <c r="U688" s="505" t="s">
        <v>43</v>
      </c>
      <c r="V688" s="490" t="s">
        <v>1541</v>
      </c>
      <c r="W688" s="496" t="s">
        <v>45</v>
      </c>
      <c r="X688" s="816">
        <v>56246</v>
      </c>
      <c r="Y688" s="498" t="s">
        <v>46</v>
      </c>
      <c r="Z688" s="535" t="s">
        <v>145</v>
      </c>
      <c r="AA688" s="518"/>
      <c r="AB688" s="498"/>
      <c r="AC688" s="490">
        <v>45936</v>
      </c>
      <c r="AD688" s="501"/>
      <c r="AE688" s="286">
        <v>45944</v>
      </c>
      <c r="AF688" s="288"/>
      <c r="AG688" s="288"/>
      <c r="AH688" s="288"/>
      <c r="AI688" s="288"/>
      <c r="AJ688" s="288"/>
      <c r="AK688" s="288"/>
      <c r="AL688" s="288"/>
      <c r="AM688" s="288"/>
      <c r="AN688" s="288"/>
      <c r="AO688" s="288"/>
      <c r="AP688" s="288"/>
      <c r="AQ688" s="288"/>
      <c r="AR688" s="288"/>
      <c r="AS688" s="288"/>
      <c r="AT688" s="288"/>
      <c r="AU688" s="288"/>
      <c r="AV688" s="288"/>
      <c r="AW688" s="288"/>
      <c r="AX688" s="288"/>
      <c r="AY688" s="288"/>
      <c r="AZ688" s="288"/>
    </row>
    <row r="689" spans="1:52" ht="23.25" x14ac:dyDescent="0.35">
      <c r="A689" s="791" t="s">
        <v>104</v>
      </c>
      <c r="B689" s="788">
        <v>30645</v>
      </c>
      <c r="C689" s="552">
        <v>55000</v>
      </c>
      <c r="D689" s="502" t="s">
        <v>33</v>
      </c>
      <c r="E689" s="502" t="s">
        <v>1006</v>
      </c>
      <c r="F689" s="488" t="s">
        <v>1552</v>
      </c>
      <c r="G689" s="488" t="s">
        <v>108</v>
      </c>
      <c r="H689" s="502" t="s">
        <v>109</v>
      </c>
      <c r="I689" s="502" t="e" vm="1">
        <v>#VALUE!</v>
      </c>
      <c r="J689" s="502" t="s">
        <v>473</v>
      </c>
      <c r="K689" s="502"/>
      <c r="L689" s="490">
        <v>45868</v>
      </c>
      <c r="M689" s="809" t="str">
        <f>IF(OR(H689="cif", H689="cfr"), "-", "INSERT NAME HERE")</f>
        <v>-</v>
      </c>
      <c r="N689" s="503" t="s">
        <v>40</v>
      </c>
      <c r="O689" s="666">
        <v>575</v>
      </c>
      <c r="P689" s="523" t="s">
        <v>80</v>
      </c>
      <c r="Q689" s="492">
        <f t="shared" si="26"/>
        <v>1.0454545454545454E-2</v>
      </c>
      <c r="R689" s="490" t="s">
        <v>42</v>
      </c>
      <c r="S689" s="492" t="s">
        <v>42</v>
      </c>
      <c r="T689" s="548">
        <v>45937</v>
      </c>
      <c r="U689" s="505" t="s">
        <v>43</v>
      </c>
      <c r="V689" s="490" t="s">
        <v>1541</v>
      </c>
      <c r="W689" s="496" t="s">
        <v>45</v>
      </c>
      <c r="X689" s="622">
        <v>40535</v>
      </c>
      <c r="Y689" s="498" t="s">
        <v>46</v>
      </c>
      <c r="Z689" s="498" t="s">
        <v>41</v>
      </c>
      <c r="AA689" s="518"/>
      <c r="AB689" s="490">
        <v>45934</v>
      </c>
      <c r="AC689" s="490">
        <v>45938</v>
      </c>
      <c r="AD689" s="793"/>
      <c r="AE689" s="286"/>
      <c r="AF689" s="685"/>
      <c r="AG689" s="685"/>
      <c r="AH689" s="685"/>
      <c r="AI689" s="685"/>
      <c r="AJ689" s="685"/>
      <c r="AK689" s="685"/>
      <c r="AL689" s="685"/>
      <c r="AM689" s="685"/>
      <c r="AN689" s="685"/>
      <c r="AO689" s="685"/>
      <c r="AP689" s="685"/>
      <c r="AQ689" s="685"/>
      <c r="AR689" s="685"/>
      <c r="AS689" s="685"/>
      <c r="AT689" s="685"/>
      <c r="AU689" s="685"/>
      <c r="AV689" s="685"/>
      <c r="AW689" s="685"/>
      <c r="AX689" s="685"/>
      <c r="AY689" s="685"/>
      <c r="AZ689" s="685"/>
    </row>
    <row r="690" spans="1:52" s="413" customFormat="1" ht="24.95" customHeight="1" x14ac:dyDescent="0.3">
      <c r="A690" s="487" t="s">
        <v>161</v>
      </c>
      <c r="B690" s="787">
        <v>30316</v>
      </c>
      <c r="C690" s="489">
        <f>24937*2.20462</f>
        <v>54976.608939999998</v>
      </c>
      <c r="D690" s="488" t="s">
        <v>1553</v>
      </c>
      <c r="E690" s="488" t="s">
        <v>801</v>
      </c>
      <c r="F690" s="488" t="s">
        <v>1554</v>
      </c>
      <c r="G690" s="488" t="s">
        <v>36</v>
      </c>
      <c r="H690" s="488" t="s">
        <v>164</v>
      </c>
      <c r="I690" s="488" t="e" vm="14">
        <v>#VALUE!</v>
      </c>
      <c r="J690" s="488" t="s">
        <v>166</v>
      </c>
      <c r="K690" s="488"/>
      <c r="L690" s="490">
        <v>45883</v>
      </c>
      <c r="M690" s="811" t="s">
        <v>39</v>
      </c>
      <c r="N690" s="503" t="s">
        <v>40</v>
      </c>
      <c r="O690" s="491">
        <v>4150</v>
      </c>
      <c r="P690" s="488" t="s">
        <v>41</v>
      </c>
      <c r="Q690" s="519">
        <f t="shared" si="26"/>
        <v>7.5486649322609164E-2</v>
      </c>
      <c r="R690" s="548">
        <v>45927</v>
      </c>
      <c r="S690" s="550" t="s">
        <v>65</v>
      </c>
      <c r="T690" s="548">
        <v>45939</v>
      </c>
      <c r="U690" s="630" t="s">
        <v>76</v>
      </c>
      <c r="V690" s="490" t="s">
        <v>1555</v>
      </c>
      <c r="W690" s="496" t="s">
        <v>67</v>
      </c>
      <c r="X690" s="622">
        <v>101483.85</v>
      </c>
      <c r="Y690" s="498" t="s">
        <v>46</v>
      </c>
      <c r="Z690" s="498" t="s">
        <v>41</v>
      </c>
      <c r="AA690" s="518"/>
      <c r="AB690" s="490"/>
      <c r="AC690" s="490">
        <v>45939</v>
      </c>
      <c r="AD690" s="286"/>
      <c r="AE690" s="286">
        <v>45937</v>
      </c>
      <c r="AF690" s="288"/>
      <c r="AG690" s="288"/>
      <c r="AH690" s="288"/>
      <c r="AI690" s="288"/>
      <c r="AJ690" s="288"/>
      <c r="AK690" s="288"/>
      <c r="AL690" s="288"/>
      <c r="AM690" s="288"/>
      <c r="AN690" s="288"/>
      <c r="AO690" s="288"/>
      <c r="AP690" s="288"/>
      <c r="AQ690" s="288"/>
      <c r="AR690" s="288"/>
      <c r="AS690" s="288"/>
      <c r="AT690" s="288"/>
      <c r="AU690" s="288"/>
      <c r="AV690" s="288"/>
      <c r="AW690" s="288"/>
      <c r="AX690" s="288"/>
      <c r="AY690" s="288"/>
      <c r="AZ690" s="288"/>
    </row>
    <row r="691" spans="1:52" s="413" customFormat="1" ht="24.95" hidden="1" customHeight="1" x14ac:dyDescent="0.35">
      <c r="A691" s="586" t="s">
        <v>77</v>
      </c>
      <c r="B691" s="509">
        <v>31824</v>
      </c>
      <c r="C691" s="510">
        <f>25*520</f>
        <v>13000</v>
      </c>
      <c r="D691" s="509">
        <v>9</v>
      </c>
      <c r="E691" s="509" t="s">
        <v>1400</v>
      </c>
      <c r="F691" s="509" t="s">
        <v>42</v>
      </c>
      <c r="G691" s="509" t="s">
        <v>42</v>
      </c>
      <c r="H691" s="509" t="s">
        <v>37</v>
      </c>
      <c r="I691" s="509" t="s">
        <v>1556</v>
      </c>
      <c r="J691" s="509" t="s">
        <v>53</v>
      </c>
      <c r="K691" s="509"/>
      <c r="L691" s="511">
        <v>45939</v>
      </c>
      <c r="M691" s="511" t="s">
        <v>42</v>
      </c>
      <c r="N691" s="732" t="s">
        <v>45</v>
      </c>
      <c r="O691" s="512" t="s">
        <v>42</v>
      </c>
      <c r="P691" s="509" t="s">
        <v>42</v>
      </c>
      <c r="Q691" s="823" t="s">
        <v>42</v>
      </c>
      <c r="R691" s="543" t="s">
        <v>42</v>
      </c>
      <c r="S691" s="513" t="s">
        <v>42</v>
      </c>
      <c r="T691" s="511">
        <v>45945</v>
      </c>
      <c r="U691" s="539" t="s">
        <v>66</v>
      </c>
      <c r="V691" s="511" t="s">
        <v>1555</v>
      </c>
      <c r="W691" s="515" t="s">
        <v>45</v>
      </c>
      <c r="X691" s="737">
        <v>32500</v>
      </c>
      <c r="Y691" s="515" t="s">
        <v>79</v>
      </c>
      <c r="Z691" s="803" t="s">
        <v>80</v>
      </c>
      <c r="AA691" s="693"/>
      <c r="AB691" s="693"/>
      <c r="AC691" s="490" t="s">
        <v>42</v>
      </c>
      <c r="AD691" s="501"/>
      <c r="AE691" s="286" t="s">
        <v>64</v>
      </c>
      <c r="AF691" s="288"/>
      <c r="AG691" s="288"/>
      <c r="AH691" s="288"/>
      <c r="AI691" s="288"/>
      <c r="AJ691" s="288"/>
      <c r="AK691" s="288"/>
      <c r="AL691" s="288"/>
      <c r="AM691" s="288"/>
      <c r="AN691" s="288"/>
      <c r="AO691" s="288"/>
      <c r="AP691" s="288"/>
      <c r="AQ691" s="288"/>
      <c r="AR691" s="288"/>
      <c r="AS691" s="288"/>
      <c r="AT691" s="288"/>
      <c r="AU691" s="288"/>
      <c r="AV691" s="288"/>
      <c r="AW691" s="288"/>
      <c r="AX691" s="288"/>
      <c r="AY691" s="288"/>
    </row>
    <row r="692" spans="1:52" s="288" customFormat="1" ht="24.95" hidden="1" customHeight="1" x14ac:dyDescent="0.35">
      <c r="A692" s="508" t="s">
        <v>77</v>
      </c>
      <c r="B692" s="509">
        <v>31771</v>
      </c>
      <c r="C692" s="510">
        <f>14*1120</f>
        <v>15680</v>
      </c>
      <c r="D692" s="509">
        <v>13</v>
      </c>
      <c r="E692" s="509" t="s">
        <v>1557</v>
      </c>
      <c r="F692" s="509" t="s">
        <v>42</v>
      </c>
      <c r="G692" s="509" t="s">
        <v>42</v>
      </c>
      <c r="H692" s="509" t="s">
        <v>37</v>
      </c>
      <c r="I692" s="509" t="s">
        <v>1556</v>
      </c>
      <c r="J692" s="509" t="s">
        <v>53</v>
      </c>
      <c r="K692" s="509"/>
      <c r="L692" s="511">
        <v>45939</v>
      </c>
      <c r="M692" s="511" t="s">
        <v>42</v>
      </c>
      <c r="N692" s="732" t="s">
        <v>45</v>
      </c>
      <c r="O692" s="512" t="s">
        <v>42</v>
      </c>
      <c r="P692" s="509" t="s">
        <v>42</v>
      </c>
      <c r="Q692" s="512" t="s">
        <v>42</v>
      </c>
      <c r="R692" s="543" t="s">
        <v>42</v>
      </c>
      <c r="S692" s="513" t="s">
        <v>42</v>
      </c>
      <c r="T692" s="511">
        <v>45945</v>
      </c>
      <c r="U692" s="516" t="s">
        <v>66</v>
      </c>
      <c r="V692" s="511" t="s">
        <v>1555</v>
      </c>
      <c r="W692" s="515" t="s">
        <v>45</v>
      </c>
      <c r="X692" s="712">
        <v>33712</v>
      </c>
      <c r="Y692" s="515" t="s">
        <v>79</v>
      </c>
      <c r="Z692" s="818" t="s">
        <v>80</v>
      </c>
      <c r="AA692" s="693"/>
      <c r="AB692" s="693"/>
      <c r="AC692" s="490" t="s">
        <v>42</v>
      </c>
      <c r="AD692" s="501"/>
      <c r="AE692" s="286" t="s">
        <v>64</v>
      </c>
      <c r="AZ692" s="413"/>
    </row>
    <row r="693" spans="1:52" s="413" customFormat="1" ht="24.95" customHeight="1" x14ac:dyDescent="0.35">
      <c r="A693" s="586" t="s">
        <v>821</v>
      </c>
      <c r="B693" s="509">
        <v>31609</v>
      </c>
      <c r="C693" s="510">
        <f>1600*25</f>
        <v>40000</v>
      </c>
      <c r="D693" s="509" t="s">
        <v>249</v>
      </c>
      <c r="E693" s="509" t="s">
        <v>439</v>
      </c>
      <c r="F693" s="509"/>
      <c r="G693" s="509"/>
      <c r="H693" s="509" t="s">
        <v>37</v>
      </c>
      <c r="I693" s="509" t="s">
        <v>440</v>
      </c>
      <c r="J693" s="509" t="s">
        <v>62</v>
      </c>
      <c r="K693" s="509"/>
      <c r="L693" s="661">
        <v>45938</v>
      </c>
      <c r="M693" s="511" t="s">
        <v>42</v>
      </c>
      <c r="N693" s="732" t="s">
        <v>103</v>
      </c>
      <c r="O693" s="512">
        <v>5295</v>
      </c>
      <c r="P693" s="509" t="s">
        <v>41</v>
      </c>
      <c r="Q693" s="513">
        <f>IF(O693="NA","NA",(O693/C693))</f>
        <v>0.13237499999999999</v>
      </c>
      <c r="R693" s="514" t="s">
        <v>42</v>
      </c>
      <c r="S693" s="513" t="s">
        <v>42</v>
      </c>
      <c r="T693" s="511">
        <v>45946</v>
      </c>
      <c r="U693" s="516" t="s">
        <v>66</v>
      </c>
      <c r="V693" s="511" t="s">
        <v>1555</v>
      </c>
      <c r="W693" s="511" t="s">
        <v>45</v>
      </c>
      <c r="X693" s="712">
        <v>114000</v>
      </c>
      <c r="Y693" s="515" t="s">
        <v>79</v>
      </c>
      <c r="Z693" s="818" t="s">
        <v>41</v>
      </c>
      <c r="AA693" s="693"/>
      <c r="AB693" s="767"/>
      <c r="AC693" s="490">
        <v>45943</v>
      </c>
      <c r="AD693" s="501"/>
      <c r="AE693" s="286">
        <v>45952</v>
      </c>
      <c r="AF693" s="288"/>
      <c r="AG693" s="288"/>
      <c r="AH693" s="288"/>
      <c r="AI693" s="288"/>
      <c r="AJ693" s="288"/>
      <c r="AK693" s="288"/>
      <c r="AL693" s="288"/>
      <c r="AM693" s="288"/>
      <c r="AN693" s="288"/>
      <c r="AO693" s="288"/>
      <c r="AP693" s="288"/>
      <c r="AQ693" s="288"/>
      <c r="AR693" s="288"/>
      <c r="AS693" s="288"/>
      <c r="AT693" s="288"/>
      <c r="AU693" s="288"/>
      <c r="AV693" s="288"/>
      <c r="AW693" s="288"/>
      <c r="AX693" s="288"/>
      <c r="AY693" s="288"/>
    </row>
    <row r="694" spans="1:52" s="288" customFormat="1" ht="23.25" x14ac:dyDescent="0.3">
      <c r="A694" s="587" t="s">
        <v>161</v>
      </c>
      <c r="B694" s="787">
        <v>30313</v>
      </c>
      <c r="C694" s="489">
        <f>24937*2.20462</f>
        <v>54976.608939999998</v>
      </c>
      <c r="D694" s="488" t="s">
        <v>1553</v>
      </c>
      <c r="E694" s="488" t="s">
        <v>162</v>
      </c>
      <c r="F694" s="488" t="s">
        <v>1558</v>
      </c>
      <c r="G694" s="488" t="s">
        <v>36</v>
      </c>
      <c r="H694" s="488" t="s">
        <v>164</v>
      </c>
      <c r="I694" s="488" t="e" vm="14">
        <v>#VALUE!</v>
      </c>
      <c r="J694" s="488" t="s">
        <v>166</v>
      </c>
      <c r="K694" s="488"/>
      <c r="L694" s="490">
        <v>45883</v>
      </c>
      <c r="M694" s="811" t="s">
        <v>39</v>
      </c>
      <c r="N694" s="503" t="s">
        <v>40</v>
      </c>
      <c r="O694" s="491">
        <v>4150</v>
      </c>
      <c r="P694" s="488" t="s">
        <v>41</v>
      </c>
      <c r="Q694" s="519">
        <f>IF(O694="NA","NA",(O694/C694))</f>
        <v>7.5486649322609164E-2</v>
      </c>
      <c r="R694" s="490">
        <v>45929</v>
      </c>
      <c r="S694" s="492" t="s">
        <v>65</v>
      </c>
      <c r="T694" s="490">
        <v>45946</v>
      </c>
      <c r="U694" s="505" t="s">
        <v>76</v>
      </c>
      <c r="V694" s="490" t="s">
        <v>1555</v>
      </c>
      <c r="W694" s="496" t="s">
        <v>67</v>
      </c>
      <c r="X694" s="497">
        <v>101989.62</v>
      </c>
      <c r="Y694" s="498" t="s">
        <v>46</v>
      </c>
      <c r="Z694" s="535" t="s">
        <v>41</v>
      </c>
      <c r="AA694" s="518"/>
      <c r="AB694" s="490"/>
      <c r="AC694" s="490">
        <v>45946</v>
      </c>
      <c r="AD694" s="286"/>
      <c r="AE694" s="286">
        <v>45937</v>
      </c>
      <c r="AZ694" s="413"/>
    </row>
    <row r="695" spans="1:52" s="288" customFormat="1" ht="23.25" x14ac:dyDescent="0.35">
      <c r="A695" s="586" t="s">
        <v>263</v>
      </c>
      <c r="B695" s="509">
        <v>27787</v>
      </c>
      <c r="C695" s="510">
        <f>18144*2.20462</f>
        <v>40000.625279999993</v>
      </c>
      <c r="D695" s="509" t="s">
        <v>249</v>
      </c>
      <c r="E695" s="509" t="s">
        <v>1559</v>
      </c>
      <c r="F695" s="509" t="s">
        <v>42</v>
      </c>
      <c r="G695" s="509" t="s">
        <v>42</v>
      </c>
      <c r="H695" s="509" t="s">
        <v>37</v>
      </c>
      <c r="I695" s="509" t="s">
        <v>1560</v>
      </c>
      <c r="J695" s="509" t="s">
        <v>62</v>
      </c>
      <c r="K695" s="509"/>
      <c r="L695" s="511">
        <v>45947</v>
      </c>
      <c r="M695" s="511" t="s">
        <v>42</v>
      </c>
      <c r="N695" s="732" t="s">
        <v>103</v>
      </c>
      <c r="O695" s="512">
        <v>2350</v>
      </c>
      <c r="P695" s="509" t="s">
        <v>80</v>
      </c>
      <c r="Q695" s="512">
        <f>IF(O695="NA","NA",(O695/C695))</f>
        <v>5.8749081634355903E-2</v>
      </c>
      <c r="R695" s="543" t="s">
        <v>42</v>
      </c>
      <c r="S695" s="544" t="s">
        <v>42</v>
      </c>
      <c r="T695" s="711">
        <f>L695+3</f>
        <v>45950</v>
      </c>
      <c r="U695" s="539" t="s">
        <v>66</v>
      </c>
      <c r="V695" s="511" t="s">
        <v>1561</v>
      </c>
      <c r="W695" s="711" t="s">
        <v>45</v>
      </c>
      <c r="X695" s="712">
        <v>128800</v>
      </c>
      <c r="Y695" s="515" t="s">
        <v>79</v>
      </c>
      <c r="Z695" s="803" t="s">
        <v>41</v>
      </c>
      <c r="AA695" s="693"/>
      <c r="AB695" s="766"/>
      <c r="AC695" s="490">
        <v>45948</v>
      </c>
      <c r="AD695" s="501"/>
      <c r="AE695" s="286">
        <v>45957</v>
      </c>
      <c r="AF695" s="413"/>
      <c r="AG695" s="413"/>
      <c r="AH695" s="413"/>
      <c r="AI695" s="413"/>
      <c r="AJ695" s="413"/>
      <c r="AK695" s="413"/>
      <c r="AL695" s="413"/>
      <c r="AM695" s="413"/>
      <c r="AN695" s="413"/>
      <c r="AO695" s="413"/>
      <c r="AP695" s="413"/>
      <c r="AQ695" s="413"/>
      <c r="AR695" s="413"/>
      <c r="AS695" s="413"/>
      <c r="AT695" s="413"/>
      <c r="AU695" s="413"/>
      <c r="AV695" s="413"/>
      <c r="AW695" s="413"/>
      <c r="AX695" s="413"/>
      <c r="AY695" s="413"/>
      <c r="AZ695" s="413"/>
    </row>
    <row r="696" spans="1:52" s="288" customFormat="1" ht="24.95" hidden="1" customHeight="1" x14ac:dyDescent="0.3">
      <c r="A696" s="487" t="s">
        <v>1562</v>
      </c>
      <c r="B696" s="488">
        <v>30483</v>
      </c>
      <c r="C696" s="489">
        <v>9720</v>
      </c>
      <c r="D696" s="488">
        <v>4</v>
      </c>
      <c r="E696" s="488" t="s">
        <v>416</v>
      </c>
      <c r="F696" s="488" t="s">
        <v>1563</v>
      </c>
      <c r="G696" s="488" t="s">
        <v>418</v>
      </c>
      <c r="H696" s="488" t="s">
        <v>51</v>
      </c>
      <c r="I696" s="488" t="e" vm="1">
        <v>#VALUE!</v>
      </c>
      <c r="J696" s="488" t="s">
        <v>420</v>
      </c>
      <c r="K696" s="488"/>
      <c r="L696" s="490">
        <v>45886</v>
      </c>
      <c r="M696" s="811" t="s">
        <v>1564</v>
      </c>
      <c r="N696" s="503" t="s">
        <v>45</v>
      </c>
      <c r="O696" s="491" t="s">
        <v>42</v>
      </c>
      <c r="P696" s="488" t="s">
        <v>42</v>
      </c>
      <c r="Q696" s="519" t="s">
        <v>42</v>
      </c>
      <c r="R696" s="548">
        <v>45906</v>
      </c>
      <c r="S696" s="817" t="s">
        <v>1565</v>
      </c>
      <c r="T696" s="548">
        <v>45940</v>
      </c>
      <c r="U696" s="527" t="s">
        <v>1539</v>
      </c>
      <c r="V696" s="490" t="s">
        <v>1555</v>
      </c>
      <c r="W696" s="496" t="s">
        <v>45</v>
      </c>
      <c r="X696" s="622">
        <v>23275</v>
      </c>
      <c r="Y696" s="498" t="s">
        <v>46</v>
      </c>
      <c r="Z696" s="693" t="s">
        <v>41</v>
      </c>
      <c r="AA696" s="518"/>
      <c r="AB696" s="490"/>
      <c r="AC696" s="490" t="s">
        <v>42</v>
      </c>
      <c r="AD696" s="286"/>
      <c r="AE696" s="286" t="s">
        <v>64</v>
      </c>
    </row>
    <row r="697" spans="1:52" s="288" customFormat="1" ht="23.25" customHeight="1" x14ac:dyDescent="0.35">
      <c r="A697" s="586" t="s">
        <v>1566</v>
      </c>
      <c r="B697" s="509">
        <v>31138</v>
      </c>
      <c r="C697" s="510">
        <v>40000</v>
      </c>
      <c r="D697" s="509" t="s">
        <v>249</v>
      </c>
      <c r="E697" s="509" t="s">
        <v>605</v>
      </c>
      <c r="F697" s="509" t="s">
        <v>42</v>
      </c>
      <c r="G697" s="509" t="s">
        <v>42</v>
      </c>
      <c r="H697" s="509" t="s">
        <v>37</v>
      </c>
      <c r="I697" s="509" t="s">
        <v>720</v>
      </c>
      <c r="J697" s="509" t="s">
        <v>62</v>
      </c>
      <c r="K697" s="509"/>
      <c r="L697" s="511">
        <v>45946</v>
      </c>
      <c r="M697" s="511" t="s">
        <v>42</v>
      </c>
      <c r="N697" s="732" t="s">
        <v>103</v>
      </c>
      <c r="O697" s="512">
        <v>5295</v>
      </c>
      <c r="P697" s="509" t="s">
        <v>80</v>
      </c>
      <c r="Q697" s="513">
        <f>IF(O697="NA","NA",(O697/C697))</f>
        <v>0.13237499999999999</v>
      </c>
      <c r="R697" s="543" t="s">
        <v>42</v>
      </c>
      <c r="S697" s="513" t="s">
        <v>42</v>
      </c>
      <c r="T697" s="511">
        <f>L697+5</f>
        <v>45951</v>
      </c>
      <c r="U697" s="516" t="s">
        <v>66</v>
      </c>
      <c r="V697" s="511" t="s">
        <v>1561</v>
      </c>
      <c r="W697" s="515" t="s">
        <v>45</v>
      </c>
      <c r="X697" s="712">
        <v>116000</v>
      </c>
      <c r="Y697" s="515" t="s">
        <v>79</v>
      </c>
      <c r="Z697" s="803" t="s">
        <v>41</v>
      </c>
      <c r="AA697" s="693"/>
      <c r="AB697" s="693"/>
      <c r="AC697" s="490">
        <v>45948</v>
      </c>
      <c r="AD697" s="501"/>
      <c r="AE697" s="286">
        <v>45953</v>
      </c>
    </row>
    <row r="698" spans="1:52" s="288" customFormat="1" ht="24.95" customHeight="1" x14ac:dyDescent="0.35">
      <c r="A698" s="587" t="s">
        <v>1567</v>
      </c>
      <c r="B698" s="815">
        <v>31090</v>
      </c>
      <c r="C698" s="669">
        <v>44000</v>
      </c>
      <c r="D698" s="488" t="s">
        <v>105</v>
      </c>
      <c r="E698" s="488" t="s">
        <v>460</v>
      </c>
      <c r="F698" s="523" t="s">
        <v>1568</v>
      </c>
      <c r="G698" s="523" t="s">
        <v>130</v>
      </c>
      <c r="H698" s="488" t="s">
        <v>51</v>
      </c>
      <c r="I698" s="523" t="e" vm="1">
        <v>#VALUE!</v>
      </c>
      <c r="J698" s="502" t="s">
        <v>466</v>
      </c>
      <c r="K698" s="502"/>
      <c r="L698" s="490">
        <v>45877</v>
      </c>
      <c r="M698" s="809" t="str">
        <f>IF(OR(H698="cif", H698="cfr"), "-", "INSERT NAME HERE")</f>
        <v>-</v>
      </c>
      <c r="N698" s="503" t="s">
        <v>40</v>
      </c>
      <c r="O698" s="666">
        <v>575</v>
      </c>
      <c r="P698" s="523" t="s">
        <v>80</v>
      </c>
      <c r="Q698" s="504">
        <f>IF(O698="NA","NA",(O698/C698))</f>
        <v>1.3068181818181817E-2</v>
      </c>
      <c r="R698" s="490">
        <v>45944</v>
      </c>
      <c r="S698" s="492" t="s">
        <v>1522</v>
      </c>
      <c r="T698" s="490">
        <v>45948</v>
      </c>
      <c r="U698" s="683" t="s">
        <v>76</v>
      </c>
      <c r="V698" s="490" t="s">
        <v>1561</v>
      </c>
      <c r="W698" s="496" t="s">
        <v>45</v>
      </c>
      <c r="X698" s="622">
        <v>55000</v>
      </c>
      <c r="Y698" s="555" t="s">
        <v>68</v>
      </c>
      <c r="Z698" s="498" t="s">
        <v>41</v>
      </c>
      <c r="AA698" s="693"/>
      <c r="AB698" s="490"/>
      <c r="AC698" s="490">
        <v>45949</v>
      </c>
      <c r="AD698" s="490"/>
      <c r="AE698" s="286"/>
    </row>
    <row r="699" spans="1:52" s="288" customFormat="1" ht="23.25" customHeight="1" x14ac:dyDescent="0.3">
      <c r="A699" s="586" t="s">
        <v>1569</v>
      </c>
      <c r="B699" s="509">
        <v>31919</v>
      </c>
      <c r="C699" s="510">
        <f>25*1200</f>
        <v>30000</v>
      </c>
      <c r="D699" s="509"/>
      <c r="E699" s="509" t="s">
        <v>1570</v>
      </c>
      <c r="F699" s="509" t="s">
        <v>42</v>
      </c>
      <c r="G699" s="509" t="s">
        <v>42</v>
      </c>
      <c r="H699" s="509" t="s">
        <v>60</v>
      </c>
      <c r="I699" s="509"/>
      <c r="J699" s="509"/>
      <c r="K699" s="509"/>
      <c r="L699" s="511">
        <v>45947</v>
      </c>
      <c r="M699" s="511" t="s">
        <v>42</v>
      </c>
      <c r="N699" s="509" t="s">
        <v>1515</v>
      </c>
      <c r="O699" s="491" t="s">
        <v>42</v>
      </c>
      <c r="P699" s="509" t="s">
        <v>42</v>
      </c>
      <c r="Q699" s="833" t="s">
        <v>42</v>
      </c>
      <c r="R699" s="543" t="s">
        <v>42</v>
      </c>
      <c r="S699" s="544" t="s">
        <v>42</v>
      </c>
      <c r="T699" s="711">
        <v>45952</v>
      </c>
      <c r="U699" s="539" t="s">
        <v>66</v>
      </c>
      <c r="V699" s="511" t="s">
        <v>1561</v>
      </c>
      <c r="W699" s="708"/>
      <c r="X699" s="712">
        <v>28920</v>
      </c>
      <c r="Y699" s="515" t="s">
        <v>79</v>
      </c>
      <c r="Z699" s="515" t="s">
        <v>41</v>
      </c>
      <c r="AA699" s="693"/>
      <c r="AB699" s="693"/>
      <c r="AC699" s="490">
        <v>45950</v>
      </c>
      <c r="AD699" s="768"/>
      <c r="AE699" s="286" t="s">
        <v>64</v>
      </c>
      <c r="AZ699" s="413"/>
    </row>
    <row r="700" spans="1:52" s="288" customFormat="1" ht="24.95" customHeight="1" x14ac:dyDescent="0.35">
      <c r="A700" s="586" t="s">
        <v>1111</v>
      </c>
      <c r="B700" s="509">
        <v>31783</v>
      </c>
      <c r="C700" s="510">
        <v>28000</v>
      </c>
      <c r="D700" s="509">
        <v>14</v>
      </c>
      <c r="E700" s="509" t="s">
        <v>1571</v>
      </c>
      <c r="F700" s="509" t="s">
        <v>42</v>
      </c>
      <c r="G700" s="509" t="s">
        <v>42</v>
      </c>
      <c r="H700" s="509" t="s">
        <v>37</v>
      </c>
      <c r="I700" s="509" t="s">
        <v>1572</v>
      </c>
      <c r="J700" s="509" t="s">
        <v>62</v>
      </c>
      <c r="K700" s="509"/>
      <c r="L700" s="511">
        <v>45945</v>
      </c>
      <c r="M700" s="511" t="s">
        <v>42</v>
      </c>
      <c r="N700" s="732" t="s">
        <v>357</v>
      </c>
      <c r="O700" s="512">
        <v>4695</v>
      </c>
      <c r="P700" s="509" t="s">
        <v>80</v>
      </c>
      <c r="Q700" s="513">
        <f t="shared" ref="Q700:Q706" si="27">IF(O700="NA","NA",(O700/C700))</f>
        <v>0.16767857142857143</v>
      </c>
      <c r="R700" s="543" t="s">
        <v>42</v>
      </c>
      <c r="S700" s="544" t="s">
        <v>42</v>
      </c>
      <c r="T700" s="711">
        <f>L700+8</f>
        <v>45953</v>
      </c>
      <c r="U700" s="539" t="s">
        <v>66</v>
      </c>
      <c r="V700" s="511" t="s">
        <v>1561</v>
      </c>
      <c r="W700" s="511" t="s">
        <v>45</v>
      </c>
      <c r="X700" s="712">
        <v>85400</v>
      </c>
      <c r="Y700" s="515" t="s">
        <v>79</v>
      </c>
      <c r="Z700" s="803" t="s">
        <v>41</v>
      </c>
      <c r="AA700" s="693"/>
      <c r="AB700" s="693"/>
      <c r="AC700" s="490">
        <v>45950</v>
      </c>
      <c r="AD700" s="501"/>
      <c r="AE700" s="286">
        <v>45960</v>
      </c>
      <c r="AV700" s="283"/>
      <c r="AW700" s="283"/>
      <c r="AX700" s="283"/>
      <c r="AY700" s="283"/>
      <c r="AZ700" s="283"/>
    </row>
    <row r="701" spans="1:52" s="288" customFormat="1" ht="24.95" customHeight="1" x14ac:dyDescent="0.35">
      <c r="A701" s="587" t="s">
        <v>1567</v>
      </c>
      <c r="B701" s="787">
        <v>30387</v>
      </c>
      <c r="C701" s="552">
        <f>20000*2.204</f>
        <v>44080</v>
      </c>
      <c r="D701" s="488" t="s">
        <v>105</v>
      </c>
      <c r="E701" s="502" t="s">
        <v>474</v>
      </c>
      <c r="F701" s="502" t="s">
        <v>1573</v>
      </c>
      <c r="G701" s="502" t="s">
        <v>130</v>
      </c>
      <c r="H701" s="502" t="s">
        <v>51</v>
      </c>
      <c r="I701" s="502" t="e" vm="1">
        <v>#VALUE!</v>
      </c>
      <c r="J701" s="502" t="s">
        <v>466</v>
      </c>
      <c r="K701" s="502"/>
      <c r="L701" s="490">
        <v>39666</v>
      </c>
      <c r="M701" s="809" t="str">
        <f>IF(OR(H701="cif", H701="cfr"), "-", "INSERT NAME HERE")</f>
        <v>-</v>
      </c>
      <c r="N701" s="503" t="s">
        <v>40</v>
      </c>
      <c r="O701" s="666">
        <v>575</v>
      </c>
      <c r="P701" s="523" t="s">
        <v>80</v>
      </c>
      <c r="Q701" s="504">
        <f t="shared" si="27"/>
        <v>1.3044464609800363E-2</v>
      </c>
      <c r="R701" s="490">
        <v>45944</v>
      </c>
      <c r="S701" s="492" t="s">
        <v>1522</v>
      </c>
      <c r="T701" s="490">
        <v>45948</v>
      </c>
      <c r="U701" s="683" t="s">
        <v>76</v>
      </c>
      <c r="V701" s="490" t="s">
        <v>1561</v>
      </c>
      <c r="W701" s="496" t="s">
        <v>45</v>
      </c>
      <c r="X701" s="622">
        <v>47000</v>
      </c>
      <c r="Y701" s="555" t="s">
        <v>68</v>
      </c>
      <c r="Z701" s="535" t="s">
        <v>41</v>
      </c>
      <c r="AA701" s="693"/>
      <c r="AB701" s="490">
        <v>45953</v>
      </c>
      <c r="AC701" s="490">
        <v>45949</v>
      </c>
      <c r="AD701" s="490" t="s">
        <v>1353</v>
      </c>
      <c r="AE701" s="286"/>
      <c r="AZ701" s="413"/>
    </row>
    <row r="702" spans="1:52" s="288" customFormat="1" ht="23.25" customHeight="1" x14ac:dyDescent="0.3">
      <c r="A702" s="586" t="s">
        <v>1574</v>
      </c>
      <c r="B702" s="509">
        <v>31979</v>
      </c>
      <c r="C702" s="510">
        <v>32820</v>
      </c>
      <c r="D702" s="509">
        <v>16</v>
      </c>
      <c r="E702" s="509" t="s">
        <v>1272</v>
      </c>
      <c r="F702" s="531" t="s">
        <v>42</v>
      </c>
      <c r="G702" s="509" t="s">
        <v>42</v>
      </c>
      <c r="H702" s="509" t="s">
        <v>37</v>
      </c>
      <c r="I702" s="509" t="s">
        <v>1572</v>
      </c>
      <c r="J702" s="509" t="s">
        <v>62</v>
      </c>
      <c r="K702" s="509"/>
      <c r="L702" s="511">
        <v>45950</v>
      </c>
      <c r="M702" s="511" t="s">
        <v>42</v>
      </c>
      <c r="N702" s="732" t="s">
        <v>103</v>
      </c>
      <c r="O702" s="512">
        <v>5295</v>
      </c>
      <c r="P702" s="509" t="s">
        <v>80</v>
      </c>
      <c r="Q702" s="513">
        <f t="shared" si="27"/>
        <v>0.1613345521023766</v>
      </c>
      <c r="R702" s="543" t="s">
        <v>42</v>
      </c>
      <c r="S702" s="513" t="s">
        <v>42</v>
      </c>
      <c r="T702" s="511">
        <f>L702+7</f>
        <v>45957</v>
      </c>
      <c r="U702" s="539" t="s">
        <v>66</v>
      </c>
      <c r="V702" s="511" t="s">
        <v>44</v>
      </c>
      <c r="W702" s="515" t="s">
        <v>45</v>
      </c>
      <c r="X702" s="712">
        <v>344610</v>
      </c>
      <c r="Y702" s="515" t="s">
        <v>79</v>
      </c>
      <c r="Z702" s="803" t="s">
        <v>41</v>
      </c>
      <c r="AA702" s="693"/>
      <c r="AB702" s="693"/>
      <c r="AC702" s="490">
        <v>45953</v>
      </c>
      <c r="AD702" s="488"/>
      <c r="AE702" s="286">
        <v>45954</v>
      </c>
      <c r="AZ702" s="413"/>
    </row>
    <row r="703" spans="1:52" s="288" customFormat="1" ht="24.95" customHeight="1" x14ac:dyDescent="0.3">
      <c r="A703" s="586" t="s">
        <v>313</v>
      </c>
      <c r="B703" s="509">
        <v>27299</v>
      </c>
      <c r="C703" s="510">
        <f>18962*2.20462</f>
        <v>41804.004439999997</v>
      </c>
      <c r="D703" s="509" t="s">
        <v>249</v>
      </c>
      <c r="E703" s="509" t="s">
        <v>314</v>
      </c>
      <c r="F703" s="509" t="s">
        <v>42</v>
      </c>
      <c r="G703" s="509" t="s">
        <v>42</v>
      </c>
      <c r="H703" s="509" t="s">
        <v>315</v>
      </c>
      <c r="I703" s="509" t="s">
        <v>285</v>
      </c>
      <c r="J703" s="509" t="s">
        <v>62</v>
      </c>
      <c r="K703" s="509"/>
      <c r="L703" s="511">
        <v>45950</v>
      </c>
      <c r="M703" s="511" t="s">
        <v>42</v>
      </c>
      <c r="N703" s="509" t="s">
        <v>103</v>
      </c>
      <c r="O703" s="512">
        <v>3170</v>
      </c>
      <c r="P703" s="509" t="s">
        <v>80</v>
      </c>
      <c r="Q703" s="513">
        <f t="shared" si="27"/>
        <v>7.5830056054792636E-2</v>
      </c>
      <c r="R703" s="514" t="s">
        <v>42</v>
      </c>
      <c r="S703" s="513" t="s">
        <v>42</v>
      </c>
      <c r="T703" s="511">
        <f>L703+4</f>
        <v>45954</v>
      </c>
      <c r="U703" s="516" t="s">
        <v>66</v>
      </c>
      <c r="V703" s="511" t="s">
        <v>1561</v>
      </c>
      <c r="W703" s="708" t="s">
        <v>45</v>
      </c>
      <c r="X703" s="712">
        <v>30096</v>
      </c>
      <c r="Y703" s="515" t="s">
        <v>215</v>
      </c>
      <c r="Z703" s="515" t="s">
        <v>41</v>
      </c>
      <c r="AA703" s="693"/>
      <c r="AB703" s="693"/>
      <c r="AC703" s="490">
        <v>45953</v>
      </c>
      <c r="AD703" s="768" t="s">
        <v>317</v>
      </c>
      <c r="AE703" s="286">
        <v>45961</v>
      </c>
      <c r="AY703" s="413"/>
    </row>
    <row r="704" spans="1:52" s="288" customFormat="1" ht="24.95" customHeight="1" x14ac:dyDescent="0.35">
      <c r="A704" s="508" t="s">
        <v>320</v>
      </c>
      <c r="B704" s="509">
        <v>28288</v>
      </c>
      <c r="C704" s="510">
        <v>36900</v>
      </c>
      <c r="D704" s="509" t="s">
        <v>249</v>
      </c>
      <c r="E704" s="509" t="s">
        <v>321</v>
      </c>
      <c r="F704" s="509"/>
      <c r="G704" s="509"/>
      <c r="H704" s="509" t="s">
        <v>164</v>
      </c>
      <c r="I704" s="509" t="s">
        <v>266</v>
      </c>
      <c r="J704" s="509" t="s">
        <v>62</v>
      </c>
      <c r="K704" s="509"/>
      <c r="L704" s="511">
        <v>45953</v>
      </c>
      <c r="M704" s="511" t="s">
        <v>42</v>
      </c>
      <c r="N704" s="509" t="s">
        <v>441</v>
      </c>
      <c r="O704" s="491">
        <v>2395</v>
      </c>
      <c r="P704" s="509" t="s">
        <v>1575</v>
      </c>
      <c r="Q704" s="513">
        <f t="shared" si="27"/>
        <v>6.4905149051490515E-2</v>
      </c>
      <c r="R704" s="514"/>
      <c r="S704" s="513"/>
      <c r="T704" s="511">
        <v>45954</v>
      </c>
      <c r="U704" s="516" t="s">
        <v>66</v>
      </c>
      <c r="V704" s="511" t="s">
        <v>44</v>
      </c>
      <c r="W704" s="708" t="s">
        <v>45</v>
      </c>
      <c r="X704" s="712">
        <v>55440</v>
      </c>
      <c r="Y704" s="515" t="s">
        <v>215</v>
      </c>
      <c r="Z704" s="707"/>
      <c r="AA704" s="693"/>
      <c r="AB704" s="693"/>
      <c r="AC704" s="490">
        <v>45954</v>
      </c>
      <c r="AD704" s="501"/>
      <c r="AE704" s="286">
        <v>45954</v>
      </c>
    </row>
    <row r="705" spans="1:52" s="413" customFormat="1" ht="23.25" x14ac:dyDescent="0.3">
      <c r="A705" s="587" t="s">
        <v>1576</v>
      </c>
      <c r="B705" s="787">
        <v>29661</v>
      </c>
      <c r="C705" s="489">
        <v>35000</v>
      </c>
      <c r="D705" s="488" t="s">
        <v>105</v>
      </c>
      <c r="E705" s="488" t="s">
        <v>752</v>
      </c>
      <c r="F705" s="488" t="s">
        <v>1577</v>
      </c>
      <c r="G705" s="488" t="s">
        <v>36</v>
      </c>
      <c r="H705" s="502" t="s">
        <v>37</v>
      </c>
      <c r="I705" s="502" t="e" vm="2">
        <v>#VALUE!</v>
      </c>
      <c r="J705" s="502" t="s">
        <v>120</v>
      </c>
      <c r="K705" s="502"/>
      <c r="L705" s="490">
        <v>45901</v>
      </c>
      <c r="M705" s="811" t="s">
        <v>39</v>
      </c>
      <c r="N705" s="503" t="s">
        <v>40</v>
      </c>
      <c r="O705" s="491">
        <v>3150</v>
      </c>
      <c r="P705" s="488" t="s">
        <v>41</v>
      </c>
      <c r="Q705" s="504">
        <f t="shared" si="27"/>
        <v>0.09</v>
      </c>
      <c r="R705" s="548">
        <v>45941</v>
      </c>
      <c r="S705" s="550" t="s">
        <v>65</v>
      </c>
      <c r="T705" s="490">
        <v>45953</v>
      </c>
      <c r="U705" s="630" t="s">
        <v>76</v>
      </c>
      <c r="V705" s="490" t="s">
        <v>1561</v>
      </c>
      <c r="W705" s="496" t="s">
        <v>45</v>
      </c>
      <c r="X705" s="622">
        <v>122500</v>
      </c>
      <c r="Y705" s="498" t="s">
        <v>68</v>
      </c>
      <c r="Z705" s="498" t="s">
        <v>41</v>
      </c>
      <c r="AA705" s="776"/>
      <c r="AB705" s="553"/>
      <c r="AC705" s="490">
        <v>45953</v>
      </c>
      <c r="AD705" s="490"/>
      <c r="AE705" s="286">
        <v>45947</v>
      </c>
      <c r="AF705" s="288"/>
      <c r="AG705" s="288"/>
      <c r="AH705" s="288"/>
      <c r="AI705" s="288"/>
      <c r="AJ705" s="288"/>
      <c r="AK705" s="288"/>
      <c r="AL705" s="288"/>
      <c r="AM705" s="288"/>
      <c r="AN705" s="288"/>
      <c r="AO705" s="288"/>
      <c r="AP705" s="288"/>
      <c r="AQ705" s="288"/>
      <c r="AR705" s="288"/>
      <c r="AS705" s="288"/>
      <c r="AT705" s="288"/>
      <c r="AU705" s="288"/>
      <c r="AV705" s="288"/>
      <c r="AW705" s="288"/>
      <c r="AX705" s="288"/>
    </row>
    <row r="706" spans="1:52" s="288" customFormat="1" ht="49.5" customHeight="1" x14ac:dyDescent="0.3">
      <c r="A706" s="587" t="s">
        <v>179</v>
      </c>
      <c r="B706" s="787">
        <v>30982</v>
      </c>
      <c r="C706" s="489">
        <v>35274</v>
      </c>
      <c r="D706" s="488" t="s">
        <v>105</v>
      </c>
      <c r="E706" s="769" t="s">
        <v>1578</v>
      </c>
      <c r="F706" s="488" t="s">
        <v>1579</v>
      </c>
      <c r="G706" s="488" t="s">
        <v>108</v>
      </c>
      <c r="H706" s="488" t="s">
        <v>37</v>
      </c>
      <c r="I706" s="488" t="e" vm="15">
        <v>#VALUE!</v>
      </c>
      <c r="J706" s="488" t="s">
        <v>183</v>
      </c>
      <c r="K706" s="488"/>
      <c r="L706" s="490">
        <v>45898</v>
      </c>
      <c r="M706" s="811" t="s">
        <v>99</v>
      </c>
      <c r="N706" s="503" t="s">
        <v>40</v>
      </c>
      <c r="O706" s="491">
        <v>3300</v>
      </c>
      <c r="P706" s="488" t="s">
        <v>41</v>
      </c>
      <c r="Q706" s="504">
        <f t="shared" si="27"/>
        <v>9.3553325395475423E-2</v>
      </c>
      <c r="R706" s="492">
        <f>IF(O706="NA","NA",(O706/C706))</f>
        <v>9.3553325395475423E-2</v>
      </c>
      <c r="S706" s="548">
        <v>45945</v>
      </c>
      <c r="T706" s="550" t="s">
        <v>65</v>
      </c>
      <c r="U706" s="490">
        <v>45953</v>
      </c>
      <c r="V706" s="527" t="s">
        <v>178</v>
      </c>
      <c r="W706" s="490" t="s">
        <v>1561</v>
      </c>
      <c r="X706" s="496" t="s">
        <v>45</v>
      </c>
      <c r="Y706" s="622">
        <v>70700</v>
      </c>
      <c r="Z706" s="498" t="s">
        <v>68</v>
      </c>
      <c r="AA706" s="498" t="s">
        <v>41</v>
      </c>
      <c r="AB706" s="498"/>
      <c r="AC706" s="490">
        <v>45953</v>
      </c>
      <c r="AD706" s="822" t="s">
        <v>1580</v>
      </c>
      <c r="AE706" s="490">
        <v>45945</v>
      </c>
      <c r="AZ706" s="413"/>
    </row>
    <row r="707" spans="1:52" s="288" customFormat="1" ht="23.25" x14ac:dyDescent="0.3">
      <c r="A707" s="587" t="s">
        <v>47</v>
      </c>
      <c r="B707" s="787">
        <v>30186</v>
      </c>
      <c r="C707" s="489">
        <v>55000</v>
      </c>
      <c r="D707" s="488" t="s">
        <v>48</v>
      </c>
      <c r="E707" s="488" t="s">
        <v>49</v>
      </c>
      <c r="F707" s="488" t="s">
        <v>50</v>
      </c>
      <c r="G707" s="488" t="s">
        <v>36</v>
      </c>
      <c r="H707" s="488" t="s">
        <v>51</v>
      </c>
      <c r="I707" s="684" t="s">
        <v>52</v>
      </c>
      <c r="J707" s="488" t="s">
        <v>53</v>
      </c>
      <c r="K707" s="488"/>
      <c r="L707" s="490">
        <v>45909</v>
      </c>
      <c r="M707" s="811" t="s">
        <v>42</v>
      </c>
      <c r="N707" s="503" t="s">
        <v>40</v>
      </c>
      <c r="O707" s="491">
        <f>IF(OR(H707="cif", H707="cfr"), 575, "INSERT VALUE HERE")</f>
        <v>575</v>
      </c>
      <c r="P707" s="488" t="str">
        <f>IF(O707=575,"CAD","INSERT CURRENCY")</f>
        <v>CAD</v>
      </c>
      <c r="Q707" s="519">
        <f>IF(O707="NA","NA",(O707/C707))</f>
        <v>1.0454545454545454E-2</v>
      </c>
      <c r="R707" s="548" t="s">
        <v>42</v>
      </c>
      <c r="S707" s="494" t="s">
        <v>42</v>
      </c>
      <c r="T707" s="490">
        <v>45958</v>
      </c>
      <c r="U707" s="527" t="s">
        <v>43</v>
      </c>
      <c r="V707" s="490" t="s">
        <v>44</v>
      </c>
      <c r="W707" s="496" t="s">
        <v>45</v>
      </c>
      <c r="X707" s="622">
        <v>29879</v>
      </c>
      <c r="Y707" s="498" t="s">
        <v>46</v>
      </c>
      <c r="Z707" s="693" t="s">
        <v>41</v>
      </c>
      <c r="AA707" s="518"/>
      <c r="AB707" s="490"/>
      <c r="AC707" s="490">
        <v>45954</v>
      </c>
      <c r="AD707" s="490" t="s">
        <v>54</v>
      </c>
      <c r="AE707" s="490"/>
    </row>
    <row r="708" spans="1:52" s="297" customFormat="1" ht="23.25" x14ac:dyDescent="0.3">
      <c r="A708" s="587" t="s">
        <v>47</v>
      </c>
      <c r="B708" s="787">
        <v>30185</v>
      </c>
      <c r="C708" s="489">
        <v>55000</v>
      </c>
      <c r="D708" s="488" t="s">
        <v>48</v>
      </c>
      <c r="E708" s="488" t="s">
        <v>49</v>
      </c>
      <c r="F708" s="488" t="s">
        <v>55</v>
      </c>
      <c r="G708" s="488" t="s">
        <v>36</v>
      </c>
      <c r="H708" s="488" t="s">
        <v>51</v>
      </c>
      <c r="I708" s="488" t="s">
        <v>52</v>
      </c>
      <c r="J708" s="488" t="s">
        <v>53</v>
      </c>
      <c r="K708" s="488"/>
      <c r="L708" s="490">
        <v>45909</v>
      </c>
      <c r="M708" s="811" t="s">
        <v>42</v>
      </c>
      <c r="N708" s="503" t="s">
        <v>40</v>
      </c>
      <c r="O708" s="491">
        <f>IF(OR(H708="cif", H708="cfr"), 575, "INSERT VALUE HERE")</f>
        <v>575</v>
      </c>
      <c r="P708" s="488" t="str">
        <f>IF(O708=575,"CAD","INSERT CURRENCY")</f>
        <v>CAD</v>
      </c>
      <c r="Q708" s="519">
        <f>IF(O708="NA","NA",(O708/C708))</f>
        <v>1.0454545454545454E-2</v>
      </c>
      <c r="R708" s="548" t="s">
        <v>42</v>
      </c>
      <c r="S708" s="494" t="s">
        <v>42</v>
      </c>
      <c r="T708" s="490">
        <v>45958</v>
      </c>
      <c r="U708" s="527" t="s">
        <v>43</v>
      </c>
      <c r="V708" s="490" t="s">
        <v>44</v>
      </c>
      <c r="W708" s="496" t="s">
        <v>45</v>
      </c>
      <c r="X708" s="622">
        <v>29879</v>
      </c>
      <c r="Y708" s="498" t="s">
        <v>46</v>
      </c>
      <c r="Z708" s="693" t="s">
        <v>41</v>
      </c>
      <c r="AA708" s="518"/>
      <c r="AB708" s="490"/>
      <c r="AC708" s="490">
        <v>45954</v>
      </c>
      <c r="AD708" s="490" t="s">
        <v>54</v>
      </c>
      <c r="AE708" s="490"/>
      <c r="AF708" s="298"/>
      <c r="AG708" s="298"/>
      <c r="AH708" s="298"/>
      <c r="AI708" s="298"/>
      <c r="AJ708" s="298"/>
      <c r="AK708" s="298"/>
      <c r="AL708" s="298"/>
      <c r="AM708" s="298"/>
      <c r="AN708" s="298"/>
      <c r="AO708" s="298"/>
      <c r="AP708" s="298"/>
      <c r="AQ708" s="298"/>
      <c r="AR708" s="298"/>
      <c r="AS708" s="298"/>
      <c r="AT708" s="298"/>
      <c r="AU708" s="298"/>
      <c r="AV708" s="298"/>
      <c r="AW708" s="298"/>
      <c r="AX708" s="298"/>
      <c r="AY708" s="298"/>
    </row>
    <row r="709" spans="1:52" s="288" customFormat="1" ht="23.25" x14ac:dyDescent="0.35">
      <c r="A709" s="587" t="s">
        <v>32</v>
      </c>
      <c r="B709" s="788">
        <v>29945</v>
      </c>
      <c r="C709" s="669">
        <v>44000</v>
      </c>
      <c r="D709" s="488" t="s">
        <v>33</v>
      </c>
      <c r="E709" s="769" t="s">
        <v>34</v>
      </c>
      <c r="F709" s="523" t="s">
        <v>35</v>
      </c>
      <c r="G709" s="523" t="s">
        <v>36</v>
      </c>
      <c r="H709" s="488" t="s">
        <v>37</v>
      </c>
      <c r="I709" s="523" t="e" vm="16">
        <v>#VALUE!</v>
      </c>
      <c r="J709" s="523" t="s">
        <v>38</v>
      </c>
      <c r="K709" s="523"/>
      <c r="L709" s="490">
        <v>45830</v>
      </c>
      <c r="M709" s="813" t="s">
        <v>39</v>
      </c>
      <c r="N709" s="503" t="s">
        <v>40</v>
      </c>
      <c r="O709" s="666">
        <f>4550+400</f>
        <v>4950</v>
      </c>
      <c r="P709" s="523" t="s">
        <v>41</v>
      </c>
      <c r="Q709" s="492">
        <f>IF(O709="NA","NA",(O709/C709))</f>
        <v>0.1125</v>
      </c>
      <c r="R709" s="490" t="s">
        <v>42</v>
      </c>
      <c r="S709" s="490" t="s">
        <v>42</v>
      </c>
      <c r="T709" s="490">
        <v>45958</v>
      </c>
      <c r="U709" s="495" t="s">
        <v>43</v>
      </c>
      <c r="V709" s="490" t="s">
        <v>44</v>
      </c>
      <c r="W709" s="843" t="s">
        <v>45</v>
      </c>
      <c r="X709" s="622">
        <v>79300</v>
      </c>
      <c r="Y709" s="498" t="s">
        <v>46</v>
      </c>
      <c r="Z709" s="498" t="s">
        <v>41</v>
      </c>
      <c r="AA709" s="518"/>
      <c r="AB709" s="490"/>
      <c r="AC709" s="490">
        <v>45958</v>
      </c>
      <c r="AD709" s="286"/>
      <c r="AE709" s="490">
        <v>45957</v>
      </c>
    </row>
  </sheetData>
  <autoFilter ref="A1:AE709" xr:uid="{66EB710A-43B8-4049-8446-D6FEA2EBB634}">
    <filterColumn colId="28">
      <filters>
        <dateGroupItem year="2025" month="10" dateTimeGrouping="month"/>
      </filters>
    </filterColumn>
  </autoFilter>
  <mergeCells count="10">
    <mergeCell ref="D240:D242"/>
    <mergeCell ref="D304:D305"/>
    <mergeCell ref="D306:D307"/>
    <mergeCell ref="J389:J390"/>
    <mergeCell ref="D389:D390"/>
    <mergeCell ref="H389:H390"/>
    <mergeCell ref="I389:I390"/>
    <mergeCell ref="D512:D513"/>
    <mergeCell ref="D477:D478"/>
    <mergeCell ref="D455:D456"/>
  </mergeCells>
  <hyperlinks>
    <hyperlink ref="F639" r:id="rId1" display="javascript:void(0);" xr:uid="{5146D40A-F783-427F-9EB1-13D88F58F318}"/>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D821-DAA3-4404-B646-5DDE201A17F1}">
  <sheetPr>
    <pageSetUpPr fitToPage="1"/>
  </sheetPr>
  <dimension ref="A1:I30"/>
  <sheetViews>
    <sheetView zoomScaleNormal="100" workbookViewId="0">
      <selection activeCell="E25" sqref="E25"/>
    </sheetView>
  </sheetViews>
  <sheetFormatPr defaultColWidth="3.140625" defaultRowHeight="15" x14ac:dyDescent="0.25"/>
  <cols>
    <col min="1" max="1" width="24.140625" style="434" customWidth="1"/>
    <col min="2" max="2" width="35.85546875" style="434" customWidth="1"/>
    <col min="3" max="3" width="60.7109375" style="434" customWidth="1"/>
    <col min="4" max="5" width="20.140625" style="434" customWidth="1"/>
    <col min="6" max="6" width="14.28515625" style="436" customWidth="1"/>
    <col min="7" max="7" width="15" style="436" bestFit="1" customWidth="1"/>
    <col min="8" max="9" width="15" style="434" customWidth="1"/>
    <col min="10" max="16384" width="3.140625" style="434"/>
  </cols>
  <sheetData>
    <row r="1" spans="1:9" ht="18.75" x14ac:dyDescent="0.3">
      <c r="A1" s="888" t="s">
        <v>1581</v>
      </c>
      <c r="B1" s="888"/>
      <c r="C1" s="888"/>
      <c r="D1" s="888"/>
      <c r="E1" s="888"/>
      <c r="F1" s="888"/>
      <c r="G1" s="888"/>
      <c r="H1" s="888"/>
      <c r="I1" s="888"/>
    </row>
    <row r="2" spans="1:9" ht="15.75" thickBot="1" x14ac:dyDescent="0.3">
      <c r="A2" s="435">
        <f ca="1">TODAY()</f>
        <v>45963</v>
      </c>
      <c r="B2" s="435"/>
    </row>
    <row r="3" spans="1:9" ht="33" customHeight="1" thickBot="1" x14ac:dyDescent="0.3">
      <c r="A3" s="478" t="s">
        <v>1582</v>
      </c>
      <c r="B3" s="479" t="s">
        <v>1</v>
      </c>
      <c r="C3" s="480" t="s">
        <v>1583</v>
      </c>
      <c r="D3" s="480" t="s">
        <v>1584</v>
      </c>
      <c r="E3" s="480" t="s">
        <v>1585</v>
      </c>
      <c r="F3" s="480" t="s">
        <v>1586</v>
      </c>
      <c r="G3" s="481" t="s">
        <v>1587</v>
      </c>
      <c r="H3" s="481" t="s">
        <v>1588</v>
      </c>
      <c r="I3" s="482" t="s">
        <v>1589</v>
      </c>
    </row>
    <row r="4" spans="1:9" ht="25.35" customHeight="1" x14ac:dyDescent="0.25">
      <c r="A4" s="560"/>
      <c r="B4" s="585"/>
      <c r="C4" s="441" t="s">
        <v>1590</v>
      </c>
      <c r="D4" s="442">
        <v>120000</v>
      </c>
      <c r="E4" s="442">
        <v>120000</v>
      </c>
      <c r="F4" s="443">
        <v>3.18</v>
      </c>
      <c r="G4" s="466">
        <f>E4*F4</f>
        <v>381600</v>
      </c>
      <c r="H4" s="771" t="s">
        <v>1591</v>
      </c>
      <c r="I4" s="772" t="s">
        <v>1592</v>
      </c>
    </row>
    <row r="5" spans="1:9" ht="25.35" customHeight="1" x14ac:dyDescent="0.25">
      <c r="A5" s="560" t="s">
        <v>1593</v>
      </c>
      <c r="B5" s="773" t="s">
        <v>251</v>
      </c>
      <c r="C5" s="441" t="s">
        <v>828</v>
      </c>
      <c r="D5" s="442">
        <v>80000</v>
      </c>
      <c r="E5" s="442">
        <v>80000</v>
      </c>
      <c r="F5" s="443">
        <v>3.37</v>
      </c>
      <c r="G5" s="466">
        <v>658725</v>
      </c>
      <c r="H5" s="771" t="s">
        <v>1591</v>
      </c>
      <c r="I5" s="772" t="s">
        <v>1592</v>
      </c>
    </row>
    <row r="6" spans="1:9" ht="25.35" customHeight="1" x14ac:dyDescent="0.25">
      <c r="A6" s="444" t="s">
        <v>1594</v>
      </c>
      <c r="B6" s="597" t="s">
        <v>320</v>
      </c>
      <c r="C6" s="445" t="s">
        <v>1595</v>
      </c>
      <c r="D6" s="446">
        <v>237600</v>
      </c>
      <c r="E6" s="438">
        <v>237600</v>
      </c>
      <c r="F6" s="447">
        <v>2.13</v>
      </c>
      <c r="G6" s="466">
        <f t="shared" ref="G6:G24" si="0">E6*F6</f>
        <v>506088</v>
      </c>
      <c r="H6" s="448" t="s">
        <v>1596</v>
      </c>
      <c r="I6" s="449" t="s">
        <v>1597</v>
      </c>
    </row>
    <row r="7" spans="1:9" ht="25.35" customHeight="1" x14ac:dyDescent="0.25">
      <c r="A7" s="450" t="s">
        <v>1598</v>
      </c>
      <c r="B7" s="451" t="s">
        <v>47</v>
      </c>
      <c r="C7" s="441" t="s">
        <v>1599</v>
      </c>
      <c r="D7" s="452">
        <v>624012</v>
      </c>
      <c r="E7" s="442">
        <v>312000</v>
      </c>
      <c r="F7" s="443">
        <v>0.74</v>
      </c>
      <c r="G7" s="466">
        <f t="shared" si="0"/>
        <v>230880</v>
      </c>
      <c r="H7" s="453" t="s">
        <v>1600</v>
      </c>
      <c r="I7" s="454" t="s">
        <v>1601</v>
      </c>
    </row>
    <row r="8" spans="1:9" ht="25.35" customHeight="1" x14ac:dyDescent="0.25">
      <c r="A8" s="437" t="s">
        <v>1602</v>
      </c>
      <c r="B8" s="455" t="s">
        <v>263</v>
      </c>
      <c r="C8" s="445" t="s">
        <v>1603</v>
      </c>
      <c r="D8" s="446">
        <v>240000</v>
      </c>
      <c r="E8" s="438">
        <v>240000</v>
      </c>
      <c r="F8" s="447">
        <v>4.6360000000000001</v>
      </c>
      <c r="G8" s="466">
        <f t="shared" si="0"/>
        <v>1112640</v>
      </c>
      <c r="H8" s="448" t="s">
        <v>1604</v>
      </c>
      <c r="I8" s="449" t="s">
        <v>1605</v>
      </c>
    </row>
    <row r="9" spans="1:9" ht="25.35" customHeight="1" x14ac:dyDescent="0.25">
      <c r="A9" s="889" t="s">
        <v>1606</v>
      </c>
      <c r="B9" s="891" t="s">
        <v>259</v>
      </c>
      <c r="C9" s="441" t="s">
        <v>1607</v>
      </c>
      <c r="D9" s="452">
        <v>405000</v>
      </c>
      <c r="E9" s="442">
        <v>405000</v>
      </c>
      <c r="F9" s="443">
        <v>2.0190000000000001</v>
      </c>
      <c r="G9" s="466">
        <f t="shared" si="0"/>
        <v>817695</v>
      </c>
      <c r="H9" s="893" t="s">
        <v>1608</v>
      </c>
      <c r="I9" s="895" t="s">
        <v>1605</v>
      </c>
    </row>
    <row r="10" spans="1:9" ht="25.35" customHeight="1" x14ac:dyDescent="0.25">
      <c r="A10" s="890"/>
      <c r="B10" s="892"/>
      <c r="C10" s="441" t="s">
        <v>1609</v>
      </c>
      <c r="D10" s="452">
        <v>88184</v>
      </c>
      <c r="E10" s="442">
        <v>88184</v>
      </c>
      <c r="F10" s="443">
        <v>2.59</v>
      </c>
      <c r="G10" s="466">
        <f t="shared" si="0"/>
        <v>228396.56</v>
      </c>
      <c r="H10" s="894"/>
      <c r="I10" s="896"/>
    </row>
    <row r="11" spans="1:9" ht="25.35" customHeight="1" x14ac:dyDescent="0.25">
      <c r="A11" s="437" t="s">
        <v>1610</v>
      </c>
      <c r="B11" s="886" t="s">
        <v>313</v>
      </c>
      <c r="C11" s="445" t="s">
        <v>1611</v>
      </c>
      <c r="D11" s="446">
        <v>167199</v>
      </c>
      <c r="E11" s="439">
        <v>83774.8</v>
      </c>
      <c r="F11" s="440">
        <v>1.0389999999999999</v>
      </c>
      <c r="G11" s="465">
        <f t="shared" si="0"/>
        <v>87042.017200000002</v>
      </c>
      <c r="H11" s="456" t="s">
        <v>1612</v>
      </c>
      <c r="I11" s="457" t="s">
        <v>1613</v>
      </c>
    </row>
    <row r="12" spans="1:9" ht="25.35" customHeight="1" x14ac:dyDescent="0.25">
      <c r="A12" s="437" t="s">
        <v>1614</v>
      </c>
      <c r="B12" s="887"/>
      <c r="C12" s="445" t="s">
        <v>1611</v>
      </c>
      <c r="D12" s="774">
        <v>167199</v>
      </c>
      <c r="E12" s="439">
        <v>167199</v>
      </c>
      <c r="F12" s="440">
        <v>1.0389999999999999</v>
      </c>
      <c r="G12" s="465">
        <f t="shared" si="0"/>
        <v>173719.761</v>
      </c>
      <c r="H12" s="456" t="s">
        <v>1608</v>
      </c>
      <c r="I12" s="457" t="s">
        <v>1615</v>
      </c>
    </row>
    <row r="13" spans="1:9" ht="25.35" customHeight="1" x14ac:dyDescent="0.25">
      <c r="A13" s="450" t="s">
        <v>1616</v>
      </c>
      <c r="B13" s="891" t="s">
        <v>1617</v>
      </c>
      <c r="C13" s="441" t="s">
        <v>1618</v>
      </c>
      <c r="D13" s="775">
        <v>232365</v>
      </c>
      <c r="E13" s="442">
        <v>173943</v>
      </c>
      <c r="F13" s="443">
        <v>1.34</v>
      </c>
      <c r="G13" s="466">
        <f t="shared" si="0"/>
        <v>233083.62000000002</v>
      </c>
      <c r="H13" s="893" t="s">
        <v>1612</v>
      </c>
      <c r="I13" s="895" t="s">
        <v>1619</v>
      </c>
    </row>
    <row r="14" spans="1:9" ht="25.35" customHeight="1" x14ac:dyDescent="0.25">
      <c r="A14" s="450" t="s">
        <v>1620</v>
      </c>
      <c r="B14" s="897"/>
      <c r="C14" s="441" t="s">
        <v>1621</v>
      </c>
      <c r="D14" s="775">
        <v>115962</v>
      </c>
      <c r="E14" s="442">
        <v>115962</v>
      </c>
      <c r="F14" s="443">
        <v>1.2430000000000001</v>
      </c>
      <c r="G14" s="466">
        <f t="shared" si="0"/>
        <v>144140.766</v>
      </c>
      <c r="H14" s="894"/>
      <c r="I14" s="896"/>
    </row>
    <row r="15" spans="1:9" ht="25.35" customHeight="1" x14ac:dyDescent="0.25">
      <c r="A15" s="889" t="s">
        <v>1622</v>
      </c>
      <c r="B15" s="897"/>
      <c r="C15" s="441" t="s">
        <v>1621</v>
      </c>
      <c r="D15" s="775">
        <v>58091</v>
      </c>
      <c r="E15" s="439">
        <v>58091</v>
      </c>
      <c r="F15" s="440">
        <v>1.242</v>
      </c>
      <c r="G15" s="465">
        <f t="shared" si="0"/>
        <v>72149.021999999997</v>
      </c>
      <c r="H15" s="898" t="s">
        <v>64</v>
      </c>
      <c r="I15" s="900" t="s">
        <v>1613</v>
      </c>
    </row>
    <row r="16" spans="1:9" ht="23.25" customHeight="1" x14ac:dyDescent="0.25">
      <c r="A16" s="890"/>
      <c r="B16" s="892"/>
      <c r="C16" s="441" t="s">
        <v>1623</v>
      </c>
      <c r="D16" s="775">
        <v>57970</v>
      </c>
      <c r="E16" s="439">
        <v>57970</v>
      </c>
      <c r="F16" s="440">
        <v>1.47</v>
      </c>
      <c r="G16" s="465">
        <f t="shared" si="0"/>
        <v>85215.9</v>
      </c>
      <c r="H16" s="899"/>
      <c r="I16" s="901"/>
    </row>
    <row r="17" spans="1:9" ht="25.35" customHeight="1" x14ac:dyDescent="0.25">
      <c r="A17" s="437" t="s">
        <v>1624</v>
      </c>
      <c r="B17" s="455" t="s">
        <v>257</v>
      </c>
      <c r="C17" s="445" t="s">
        <v>1625</v>
      </c>
      <c r="D17" s="774">
        <v>132276</v>
      </c>
      <c r="E17" s="439">
        <v>88184</v>
      </c>
      <c r="F17" s="440">
        <v>2.5499999999999998</v>
      </c>
      <c r="G17" s="465">
        <f t="shared" si="0"/>
        <v>224869.19999999998</v>
      </c>
      <c r="H17" s="456" t="s">
        <v>64</v>
      </c>
      <c r="I17" s="457" t="s">
        <v>1619</v>
      </c>
    </row>
    <row r="18" spans="1:9" ht="25.35" customHeight="1" x14ac:dyDescent="0.25">
      <c r="A18" s="450" t="s">
        <v>1626</v>
      </c>
      <c r="B18" s="451" t="s">
        <v>1185</v>
      </c>
      <c r="C18" s="441" t="s">
        <v>1627</v>
      </c>
      <c r="D18" s="775">
        <v>220460</v>
      </c>
      <c r="E18" s="439">
        <v>110230</v>
      </c>
      <c r="F18" s="440">
        <v>1.93</v>
      </c>
      <c r="G18" s="465">
        <f t="shared" si="0"/>
        <v>212743.9</v>
      </c>
      <c r="H18" s="456" t="s">
        <v>1628</v>
      </c>
      <c r="I18" s="457" t="s">
        <v>1619</v>
      </c>
    </row>
    <row r="19" spans="1:9" ht="25.35" customHeight="1" x14ac:dyDescent="0.25">
      <c r="A19" s="902" t="s">
        <v>1629</v>
      </c>
      <c r="B19" s="886" t="s">
        <v>175</v>
      </c>
      <c r="C19" s="445" t="s">
        <v>1630</v>
      </c>
      <c r="D19" s="774">
        <v>132276</v>
      </c>
      <c r="E19" s="439">
        <v>132276</v>
      </c>
      <c r="F19" s="440">
        <v>1.47</v>
      </c>
      <c r="G19" s="465">
        <f t="shared" si="0"/>
        <v>194445.72</v>
      </c>
      <c r="H19" s="898" t="s">
        <v>1600</v>
      </c>
      <c r="I19" s="900" t="s">
        <v>1631</v>
      </c>
    </row>
    <row r="20" spans="1:9" ht="25.35" customHeight="1" x14ac:dyDescent="0.25">
      <c r="A20" s="903"/>
      <c r="B20" s="887"/>
      <c r="C20" s="445" t="s">
        <v>1632</v>
      </c>
      <c r="D20" s="774">
        <v>132276</v>
      </c>
      <c r="E20" s="439">
        <v>44092</v>
      </c>
      <c r="F20" s="440">
        <v>1.47</v>
      </c>
      <c r="G20" s="465">
        <f t="shared" si="0"/>
        <v>64815.24</v>
      </c>
      <c r="H20" s="899"/>
      <c r="I20" s="901"/>
    </row>
    <row r="21" spans="1:9" ht="25.35" customHeight="1" x14ac:dyDescent="0.25">
      <c r="A21" s="450" t="s">
        <v>1633</v>
      </c>
      <c r="B21" s="891" t="s">
        <v>1634</v>
      </c>
      <c r="C21" s="458" t="s">
        <v>1635</v>
      </c>
      <c r="D21" s="442">
        <v>200000</v>
      </c>
      <c r="E21" s="442">
        <v>120000</v>
      </c>
      <c r="F21" s="443">
        <v>5.76</v>
      </c>
      <c r="G21" s="466">
        <f t="shared" si="0"/>
        <v>691200</v>
      </c>
      <c r="H21" s="459" t="s">
        <v>1612</v>
      </c>
      <c r="I21" s="460" t="s">
        <v>1597</v>
      </c>
    </row>
    <row r="22" spans="1:9" ht="25.35" customHeight="1" x14ac:dyDescent="0.25">
      <c r="A22" s="889" t="s">
        <v>1636</v>
      </c>
      <c r="B22" s="897"/>
      <c r="C22" s="458" t="s">
        <v>1637</v>
      </c>
      <c r="D22" s="442">
        <v>160000</v>
      </c>
      <c r="E22" s="442">
        <v>80000</v>
      </c>
      <c r="F22" s="443">
        <v>4.68</v>
      </c>
      <c r="G22" s="466">
        <f t="shared" si="0"/>
        <v>374400</v>
      </c>
      <c r="H22" s="891" t="s">
        <v>1638</v>
      </c>
      <c r="I22" s="905" t="s">
        <v>1639</v>
      </c>
    </row>
    <row r="23" spans="1:9" x14ac:dyDescent="0.25">
      <c r="A23" s="904"/>
      <c r="B23" s="897"/>
      <c r="C23" s="458" t="s">
        <v>1640</v>
      </c>
      <c r="D23" s="442">
        <v>80000</v>
      </c>
      <c r="E23" s="442">
        <v>0</v>
      </c>
      <c r="F23" s="443">
        <v>4.03</v>
      </c>
      <c r="G23" s="466">
        <f t="shared" si="0"/>
        <v>0</v>
      </c>
      <c r="H23" s="897"/>
      <c r="I23" s="906"/>
    </row>
    <row r="24" spans="1:9" ht="25.35" customHeight="1" x14ac:dyDescent="0.25">
      <c r="A24" s="890"/>
      <c r="B24" s="892"/>
      <c r="C24" s="458" t="s">
        <v>1641</v>
      </c>
      <c r="D24" s="442">
        <v>160000</v>
      </c>
      <c r="E24" s="442">
        <v>80000</v>
      </c>
      <c r="F24" s="443">
        <v>4.0999999999999996</v>
      </c>
      <c r="G24" s="466">
        <f t="shared" si="0"/>
        <v>328000</v>
      </c>
      <c r="H24" s="892"/>
      <c r="I24" s="907"/>
    </row>
    <row r="25" spans="1:9" ht="25.35" customHeight="1" x14ac:dyDescent="0.25">
      <c r="A25" s="471"/>
      <c r="B25" s="470"/>
      <c r="C25" s="470"/>
      <c r="D25" s="470"/>
      <c r="E25" s="470"/>
      <c r="F25" s="470"/>
      <c r="G25" s="470"/>
      <c r="H25" s="470"/>
      <c r="I25" s="472"/>
    </row>
    <row r="26" spans="1:9" ht="25.35" customHeight="1" thickBot="1" x14ac:dyDescent="0.3">
      <c r="A26" s="473"/>
      <c r="B26" s="474"/>
      <c r="C26" s="474"/>
      <c r="D26" s="474"/>
      <c r="E26" s="474"/>
      <c r="F26" s="474"/>
      <c r="G26" s="474"/>
      <c r="H26" s="474"/>
      <c r="I26" s="475"/>
    </row>
    <row r="27" spans="1:9" ht="25.35" customHeight="1" thickBot="1" x14ac:dyDescent="0.3">
      <c r="A27" s="467"/>
      <c r="B27" s="467"/>
      <c r="C27" s="468"/>
      <c r="D27" s="469"/>
      <c r="E27" s="467"/>
      <c r="F27" s="476" t="s">
        <v>1642</v>
      </c>
      <c r="G27" s="477">
        <f>SUM(G4:G26)</f>
        <v>6821849.7062000008</v>
      </c>
      <c r="H27" s="467"/>
      <c r="I27" s="467"/>
    </row>
    <row r="28" spans="1:9" x14ac:dyDescent="0.25">
      <c r="A28" s="461"/>
      <c r="B28" s="461"/>
      <c r="C28" s="461"/>
      <c r="D28" s="461"/>
      <c r="E28" s="461"/>
      <c r="H28" s="461"/>
      <c r="I28" s="461"/>
    </row>
    <row r="29" spans="1:9" x14ac:dyDescent="0.25">
      <c r="A29" s="461"/>
      <c r="B29" s="461"/>
      <c r="C29" s="461"/>
      <c r="D29" s="461"/>
      <c r="E29" s="461"/>
      <c r="H29" s="461"/>
      <c r="I29" s="461"/>
    </row>
    <row r="30" spans="1:9" x14ac:dyDescent="0.25">
      <c r="D30" s="462"/>
      <c r="E30" s="462"/>
      <c r="F30" s="463"/>
      <c r="G30" s="463"/>
      <c r="H30" s="462"/>
      <c r="I30" s="464"/>
    </row>
  </sheetData>
  <mergeCells count="20">
    <mergeCell ref="A19:A20"/>
    <mergeCell ref="B19:B20"/>
    <mergeCell ref="H19:H20"/>
    <mergeCell ref="I19:I20"/>
    <mergeCell ref="B21:B24"/>
    <mergeCell ref="A22:A24"/>
    <mergeCell ref="H22:H24"/>
    <mergeCell ref="I22:I24"/>
    <mergeCell ref="B13:B16"/>
    <mergeCell ref="H13:H14"/>
    <mergeCell ref="I13:I14"/>
    <mergeCell ref="A15:A16"/>
    <mergeCell ref="H15:H16"/>
    <mergeCell ref="I15:I16"/>
    <mergeCell ref="B11:B12"/>
    <mergeCell ref="A1:I1"/>
    <mergeCell ref="A9:A10"/>
    <mergeCell ref="B9:B10"/>
    <mergeCell ref="H9:H10"/>
    <mergeCell ref="I9:I10"/>
  </mergeCells>
  <pageMargins left="0.31496062992125984" right="0.31496062992125984" top="0.15748031496062992" bottom="0.15748031496062992" header="0.31496062992125984" footer="0.31496062992125984"/>
  <pageSetup paperSize="5" scale="7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353A02D36828409DDD015432913DD7" ma:contentTypeVersion="3" ma:contentTypeDescription="Create a new document." ma:contentTypeScope="" ma:versionID="a853a6089ab9259fa86d20fb442550a2">
  <xsd:schema xmlns:xsd="http://www.w3.org/2001/XMLSchema" xmlns:xs="http://www.w3.org/2001/XMLSchema" xmlns:p="http://schemas.microsoft.com/office/2006/metadata/properties" xmlns:ns2="353205a7-7ca2-415d-99be-b464c6fe8ce0" targetNamespace="http://schemas.microsoft.com/office/2006/metadata/properties" ma:root="true" ma:fieldsID="879ba5daa41ebfcf540e0300758a1b89" ns2:_="">
    <xsd:import namespace="353205a7-7ca2-415d-99be-b464c6fe8c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3205a7-7ca2-415d-99be-b464c6fe8c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8AAC45-A205-425F-9119-4502D307D298}">
  <ds:schemaRefs>
    <ds:schemaRef ds:uri="http://schemas.microsoft.com/sharepoint/v3/contenttype/forms"/>
  </ds:schemaRefs>
</ds:datastoreItem>
</file>

<file path=customXml/itemProps2.xml><?xml version="1.0" encoding="utf-8"?>
<ds:datastoreItem xmlns:ds="http://schemas.openxmlformats.org/officeDocument/2006/customXml" ds:itemID="{9BE052D4-1C88-4453-9489-7A0872B44E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3205a7-7ca2-415d-99be-b464c6fe8c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54FF11-89FA-449E-A395-36C4936A007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SOON</vt:lpstr>
      <vt:lpstr>LATER</vt:lpstr>
      <vt:lpstr>SHIPMENT RECEIVED 2024-2025</vt:lpstr>
      <vt:lpstr>Contract Overview</vt:lpstr>
      <vt:lpstr>'Contract Overview'!Area_de_impressao</vt:lpstr>
      <vt:lpstr>LATER!Area_de_impressao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Stagiere</dc:creator>
  <cp:keywords/>
  <dc:description/>
  <cp:lastModifiedBy>Bianca Silva Cordeiro</cp:lastModifiedBy>
  <cp:revision/>
  <cp:lastPrinted>2025-10-31T14:54:44Z</cp:lastPrinted>
  <dcterms:created xsi:type="dcterms:W3CDTF">2015-11-03T14:48:03Z</dcterms:created>
  <dcterms:modified xsi:type="dcterms:W3CDTF">2025-11-02T23:19:09Z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0x01010021353A02D36828409DDD015432913DD7</vt:lpwstr>
  </property>
</Properties>
</file>